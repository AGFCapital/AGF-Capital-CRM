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c3da0afc6bd4d84" /></Relationships>
</file>

<file path=xl/workbook.xml><?xml version="1.0" encoding="utf-8"?>
<x:workbook xmlns:x="http://schemas.openxmlformats.org/spreadsheetml/2006/main">
  <x:sheets>
    <x:sheet xmlns:r="http://schemas.openxmlformats.org/officeDocument/2006/relationships" name="Puxada 1" sheetId="1" r:id="Rad0c598749e44ebf"/>
    <x:sheet xmlns:r="http://schemas.openxmlformats.org/officeDocument/2006/relationships" name="Critérios" sheetId="2" r:id="R60f11ef32c984e00"/>
    <x:sheet xmlns:r="http://schemas.openxmlformats.org/officeDocument/2006/relationships" name="Vagas — Leads quentes" sheetId="3" r:id="Re203097752b94b0e"/>
    <x:sheet xmlns:r="http://schemas.openxmlformats.org/officeDocument/2006/relationships" name="Middle market — Prospecção proativa" sheetId="4" r:id="Rd5a82b6f323e444b"/>
    <x:sheet xmlns:r="http://schemas.openxmlformats.org/officeDocument/2006/relationships" name="Critérios v2" sheetId="5" r:id="Rf113e56de655476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3">
    <x:font>
      <x:sz val="11"/>
      <x:name val="Carlito"/>
    </x:font>
    <x:font>
      <x:b/>
      <x:sz val="16"/>
      <x:color rgb="FF111827"/>
      <x:name val="Carlito"/>
    </x:font>
    <x:font>
      <x:i/>
      <x:sz val="10"/>
      <x:color rgb="FF4B5563"/>
      <x:name val="Carlito"/>
    </x:font>
    <x:font>
      <x:b/>
      <x:sz val="11"/>
      <x:color rgb="FF111827"/>
      <x:name val="Carlito"/>
    </x:font>
    <x:font>
      <x:sz val="10"/>
      <x:color rgb="FF111827"/>
      <x:name val="Carlito"/>
    </x:font>
    <x:font>
      <x:b/>
      <x:sz val="14"/>
      <x:color rgb="FF111827"/>
      <x:name val="Carlito"/>
    </x:font>
    <x:font>
      <x:b/>
      <x:sz val="16"/>
      <x:color rgb="FFFFFFFF"/>
      <x:name val="Carlito"/>
    </x:font>
    <x:font>
      <x:i/>
      <x:sz val="10"/>
      <x:color rgb="FF115E59"/>
      <x:name val="Carlito"/>
    </x:font>
    <x:font>
      <x:b/>
      <x:sz val="10"/>
      <x:color rgb="FFFFFFFF"/>
      <x:name val="Carlito"/>
    </x:font>
    <x:font>
      <x:sz val="10"/>
      <x:color rgb="FF172033"/>
      <x:name val="Carlito"/>
    </x:font>
    <x:font>
      <x:b/>
      <x:sz val="10"/>
      <x:color rgb="FF0F766E"/>
      <x:name val="Carlito"/>
    </x:font>
    <x:font>
      <x:b/>
      <x:sz val="10"/>
      <x:color rgb="FF0B1F33"/>
      <x:name val="Carlito"/>
    </x:font>
    <x:font>
      <x:b/>
      <x:sz val="10"/>
      <x:color rgb="FF172033"/>
      <x:name val="Carlito"/>
    </x:font>
  </x:fonts>
  <x:fills count="6">
    <x:fill>
      <x:patternFill patternType="none"/>
    </x:fill>
    <x:fill>
      <x:patternFill patternType="gray125"/>
    </x:fill>
    <x:fill>
      <x:patternFill patternType="solid">
        <x:fgColor rgb="FFF3F4F6"/>
      </x:patternFill>
    </x:fill>
    <x:fill>
      <x:patternFill patternType="solid">
        <x:fgColor rgb="FF0B1F33"/>
      </x:patternFill>
    </x:fill>
    <x:fill>
      <x:patternFill patternType="solid">
        <x:fgColor rgb="FFE6FFFB"/>
      </x:patternFill>
    </x:fill>
    <x:fill>
      <x:patternFill patternType="solid">
        <x:fgColor rgb="FF0F766E"/>
      </x:patternFill>
    </x:fill>
  </x:fills>
  <x:borders count="5">
    <x:border/>
    <x:border>
      <x:bottom style="thin">
        <x:color rgb="FFD1D5DB"/>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53">
    <x:xf numFmtId="0" fontId="0" fillId="0" borderId="0" xfId="0"/>
    <x:xf numFmtId="0" fontId="1" fillId="0" borderId="0" xfId="0" applyNumberFormat="1" applyFont="1" applyFill="1" applyBorder="1"/>
    <x:xf numFmtId="0" fontId="1" fillId="0" borderId="0" xfId="0" applyNumberFormat="1" applyFont="1" applyFill="1" applyBorder="1" applyAlignment="1">
      <x:alignment horizontal="left"/>
    </x:xf>
    <x:xf numFmtId="0" fontId="1" fillId="0"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horizontal="left"/>
    </x:xf>
    <x:xf numFmtId="0" fontId="2" fillId="0" borderId="0" xfId="0" applyNumberFormat="1" applyFont="1" applyFill="1" applyBorder="1" applyAlignment="1">
      <x:alignment horizontal="left" vertical="center"/>
    </x:xf>
    <x:xf numFmtId="0" fontId="0"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left" wrapText="1"/>
    </x:xf>
    <x:xf numFmtId="0" fontId="3" fillId="2" borderId="1" xfId="0" applyNumberFormat="1" applyFont="1" applyFill="1" applyBorder="1" applyAlignment="1">
      <x:alignment horizontal="left"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200" fontId="4" fillId="0" borderId="3" xfId="0" applyNumberFormat="1" applyFont="1" applyFill="1" applyBorder="1" applyAlignment="1">
      <x:alignment vertical="top" wrapText="1"/>
    </x:xf>
    <x:xf numFmtId="200" fontId="4" fillId="0" borderId="4" xfId="0" applyNumberFormat="1" applyFont="1" applyFill="1" applyBorder="1" applyAlignment="1">
      <x:alignment vertical="top" wrapText="1"/>
    </x:xf>
    <x:xf numFmtId="0" fontId="4" fillId="0" borderId="2" xfId="0" applyNumberFormat="1" applyFont="1" applyFill="1" applyBorder="1" applyAlignment="1">
      <x:alignment horizontal="center" vertical="top" wrapText="1"/>
    </x:xf>
    <x:xf numFmtId="0" fontId="4" fillId="0" borderId="3" xfId="0" applyNumberFormat="1" applyFont="1" applyFill="1" applyBorder="1" applyAlignment="1">
      <x:alignment horizontal="center" vertical="top" wrapText="1"/>
    </x:xf>
    <x:xf numFmtId="0" fontId="4" fillId="0" borderId="4" xfId="0" applyNumberFormat="1" applyFont="1" applyFill="1" applyBorder="1" applyAlignment="1">
      <x:alignment horizontal="center" vertical="top" wrapText="1"/>
    </x:xf>
    <x:xf numFmtId="0" fontId="5" fillId="0" borderId="0" xfId="0" applyNumberFormat="1" applyFont="1" applyFill="1" applyBorder="1"/>
    <x:xf numFmtId="0" fontId="5" fillId="0" borderId="0" xfId="0" applyNumberFormat="1" applyFont="1" applyFill="1" applyBorder="1" applyAlignment="1">
      <x:alignment vertical="center"/>
    </x:xf>
    <x:xf numFmtId="0" fontId="0" fillId="3"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horizontal="left"/>
    </x:xf>
    <x:xf numFmtId="0" fontId="6" fillId="3" borderId="0" xfId="0" applyNumberFormat="1" applyFont="1" applyFill="1" applyBorder="1" applyAlignment="1">
      <x:alignment horizontal="left" vertical="center"/>
    </x:xf>
    <x:xf numFmtId="0" fontId="0" fillId="4" borderId="0" xfId="0" applyNumberFormat="1" applyFont="1" applyFill="1" applyBorder="1"/>
    <x:xf numFmtId="0" fontId="7" fillId="4" borderId="0" xfId="0" applyNumberFormat="1" applyFont="1" applyFill="1" applyBorder="1"/>
    <x:xf numFmtId="0" fontId="7" fillId="4" borderId="0" xfId="0" applyNumberFormat="1" applyFont="1" applyFill="1" applyBorder="1" applyAlignment="1">
      <x:alignment wrapText="1"/>
    </x:xf>
    <x:xf numFmtId="0" fontId="7" fillId="4" borderId="0" xfId="0" applyNumberFormat="1" applyFont="1" applyFill="1" applyBorder="1" applyAlignment="1">
      <x:alignment vertical="center" wrapText="1"/>
    </x:xf>
    <x:xf numFmtId="0" fontId="0" fillId="5" borderId="0" xfId="0" applyNumberFormat="1" applyFont="1" applyFill="1" applyBorder="1"/>
    <x:xf numFmtId="0" fontId="8" fillId="5" borderId="0" xfId="0" applyNumberFormat="1" applyFont="1" applyFill="1" applyBorder="1"/>
    <x:xf numFmtId="0" fontId="8" fillId="5" borderId="0" xfId="0" applyNumberFormat="1" applyFont="1" applyFill="1" applyBorder="1" applyAlignment="1">
      <x:alignment wrapText="1"/>
    </x:xf>
    <x:xf numFmtId="0" fontId="8" fillId="5" borderId="0" xfId="0" applyNumberFormat="1" applyFont="1" applyFill="1" applyBorder="1" applyAlignment="1">
      <x:alignment horizontal="center" wrapText="1"/>
    </x:xf>
    <x:xf numFmtId="0" fontId="8" fillId="5" borderId="0"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0" fontId="11" fillId="0" borderId="0" xfId="0" applyNumberFormat="1" applyFont="1" applyFill="1" applyBorder="1" applyAlignment="1">
      <x:alignment vertical="top" wrapText="1"/>
    </x:xf>
    <x:xf numFmtId="0" fontId="12" fillId="0" borderId="0" xfId="0" applyNumberFormat="1" applyFont="1" applyFill="1" applyBorder="1" applyAlignment="1">
      <x:alignment vertical="top" wrapText="1"/>
    </x:xf>
    <x:xf numFmtId="0" fontId="12" fillId="0" borderId="0" xfId="0" applyNumberFormat="1" applyFont="1" applyFill="1" applyBorder="1" applyAlignment="1">
      <x:alignment horizontal="center" vertical="top" wrapText="1"/>
    </x:xf>
    <x:xf numFmtId="0" fontId="12" fillId="0" borderId="0" xfId="0" applyNumberFormat="1" applyFont="1" applyFill="1" applyBorder="1" applyAlignment="1">
      <x:alignment horizontal="center" vertical="center" wrapText="1"/>
    </x:xf>
    <x:xf numFmtId="0" fontId="6" fillId="3" borderId="0" xfId="0" applyNumberFormat="1" applyFont="1" applyFill="1" applyBorder="1" applyAlignment="1">
      <x:alignment vertical="center"/>
    </x:xf>
  </x:cellXfs>
  <x:cellStyles count="1">
    <x:cellStyle name="Normal" xfId="0"/>
  </x:cellStyles>
  <x:dxfs count="10">
    <x:dxf>
      <x:font>
        <x:b/>
        <x:color rgb="FF166534"/>
      </x:font>
      <x:fill>
        <x:patternFill>
          <x:bgColor rgb="FFDCFCE7"/>
        </x:patternFill>
      </x:fill>
    </x:dxf>
    <x:dxf>
      <x:font>
        <x:b/>
        <x:color rgb="FF92400E"/>
      </x:font>
      <x:fill>
        <x:patternFill>
          <x:bgColor rgb="FFFEF3C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115E59"/>
      </x:font>
      <x:fill>
        <x:patternFill patternType="solid">
          <x:bgColor rgb="FFCCFBF1"/>
        </x:patternFill>
      </x:fill>
    </x:dxf>
    <x:dxf>
      <x:font>
        <x:b/>
        <x:color rgb="FF075985"/>
      </x:font>
      <x:fill>
        <x:patternFill patternType="solid">
          <x:bgColor rgb="FFE0F2FE"/>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115E59"/>
      </x:font>
      <x:fill>
        <x:patternFill patternType="solid">
          <x:bgColor rgb="FFCCFBF1"/>
        </x:patternFill>
      </x:fill>
    </x:dxf>
    <x:dxf>
      <x:font>
        <x:b/>
        <x:color rgb="FF075985"/>
      </x:font>
      <x:fill>
        <x:patternFill patternType="solid">
          <x:bgColor rgb="FFE0F2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96febf0c04a4a39" /><Relationship Type="http://schemas.openxmlformats.org/officeDocument/2006/relationships/theme" Target="/xl/theme/theme1.xml" Id="R1244c6b2776b49a8" /><Relationship Type="http://schemas.openxmlformats.org/officeDocument/2006/relationships/sharedStrings" Target="/xl/sharedStrings.xml" Id="R74f0892ac3d145c9" /><Relationship Type="http://schemas.openxmlformats.org/officeDocument/2006/relationships/worksheet" Target="/xl/worksheets/sheet1.xml" Id="Rad0c598749e44ebf" /><Relationship Type="http://schemas.openxmlformats.org/officeDocument/2006/relationships/worksheet" Target="/xl/worksheets/sheet2.xml" Id="R60f11ef32c984e00" /><Relationship Type="http://schemas.openxmlformats.org/officeDocument/2006/relationships/worksheet" Target="/xl/worksheets/sheet3.xml" Id="Re203097752b94b0e" /><Relationship Type="http://schemas.openxmlformats.org/officeDocument/2006/relationships/worksheet" Target="/xl/worksheets/sheet4.xml" Id="Rd5a82b6f323e444b" /><Relationship Type="http://schemas.openxmlformats.org/officeDocument/2006/relationships/worksheet" Target="/xl/worksheets/sheet5.xml" Id="Rf113e56de6554761" /></Relationships>
</file>

<file path=xl/tables/table1.xml><?xml version="1.0" encoding="utf-8"?>
<x:table xmlns:x="http://schemas.openxmlformats.org/spreadsheetml/2006/main" id="1" name="VagasLeadsquentesTable" displayName="VagasLeadsquentesTable" ref="A3:X13" headerRowCount="1" totalsRowCount="0" totalsRowShown="0">
  <x:tableColumns count="24">
    <x:tableColumn id="1" name="ID"/>
    <x:tableColumn id="2" name="Empresa"/>
    <x:tableColumn id="3" name="Setor / localização"/>
    <x:tableColumn id="4" name="Porte / proxy"/>
    <x:tableColumn id="5" name="Sinal qualificado"/>
    <x:tableColumn id="6" name="Data do sinal"/>
    <x:tableColumn id="7" name="Link do sinal"/>
    <x:tableColumn id="8" name="Contato prioritário"/>
    <x:tableColumn id="9" name="Cargo / trajetória"/>
    <x:tableColumn id="10" name="LinkedIn"/>
    <x:tableColumn id="11" name="Contexto do lead"/>
    <x:tableColumn id="12" name="Notícia / momento recente (≤6 meses)"/>
    <x:tableColumn id="13" name="Fonte da notícia"/>
    <x:tableColumn id="14" name="Porte (0–3)"/>
    <x:tableColumn id="15" name="Urgência / momento (0–3)"/>
    <x:tableColumn id="16" name="Decisor (0–2)"/>
    <x:tableColumn id="17" name="Total base (0–8)"/>
    <x:tableColumn id="18" name="Bônus de entrada (0–2)"/>
    <x:tableColumn id="19" name="Critério do bônus"/>
    <x:tableColumn id="20" name="Score comercial (0–10)"/>
    <x:tableColumn id="21" name="Prioridade"/>
    <x:tableColumn id="22" name="Fit do contato"/>
    <x:tableColumn id="23" name="Remetente recomendado"/>
    <x:tableColumn id="24" name="Rascunho de mensagem"/>
  </x:tableColumns>
  <x:tableStyleInfo name="TableStyleMedium2" showFirstColumn="0" showLastColumn="0" showRowStripes="1" showColumnStripes="0"/>
</x:table>
</file>

<file path=xl/tables/table2.xml><?xml version="1.0" encoding="utf-8"?>
<x:table xmlns:x="http://schemas.openxmlformats.org/spreadsheetml/2006/main" id="2" name="MiddlemarketProspecoproativaTable" displayName="MiddlemarketProspecoproativaTable" ref="A3:X13" headerRowCount="1" totalsRowCount="0" totalsRowShown="0">
  <x:tableColumns count="24">
    <x:tableColumn id="1" name="ID"/>
    <x:tableColumn id="2" name="Empresa"/>
    <x:tableColumn id="3" name="Setor / localização"/>
    <x:tableColumn id="4" name="Porte / proxy"/>
    <x:tableColumn id="5" name="Sinal qualificado"/>
    <x:tableColumn id="6" name="Data do sinal"/>
    <x:tableColumn id="7" name="Link do sinal"/>
    <x:tableColumn id="8" name="Contato prioritário"/>
    <x:tableColumn id="9" name="Cargo / trajetória"/>
    <x:tableColumn id="10" name="LinkedIn"/>
    <x:tableColumn id="11" name="Contexto do lead"/>
    <x:tableColumn id="12" name="Notícia / momento recente (≤6 meses)"/>
    <x:tableColumn id="13" name="Fonte da notícia"/>
    <x:tableColumn id="14" name="Porte (0–3)"/>
    <x:tableColumn id="15" name="Urgência / momento (0–3)"/>
    <x:tableColumn id="16" name="Decisor (0–2)"/>
    <x:tableColumn id="17" name="Total base (0–8)"/>
    <x:tableColumn id="18" name="Bônus de entrada (0–2)"/>
    <x:tableColumn id="19" name="Critério do bônus"/>
    <x:tableColumn id="20" name="Score comercial (0–10)"/>
    <x:tableColumn id="21" name="Prioridade"/>
    <x:tableColumn id="22" name="Fit do contato"/>
    <x:tableColumn id="23" name="Remetente recomendado"/>
    <x:tableColumn id="24" name="Rascunho de mensagem"/>
  </x:tableColumns>
  <x:tableStyleInfo name="TableStyleMedium2" showFirstColumn="0" showLastColumn="0" showRowStripes="1" showColumnStripes="0"/>
</x:table>
</file>

<file path=xl/tables/table3.xml><?xml version="1.0" encoding="utf-8"?>
<x:table xmlns:x="http://schemas.openxmlformats.org/spreadsheetml/2006/main" id="3" name="CriteriosV2Table" displayName="CriteriosV2Table" ref="A4:G13" headerRowCount="1" totalsRowCount="0" totalsRowShown="0">
  <x:tableColumns count="7">
    <x:tableColumn id="1" name="Base"/>
    <x:tableColumn id="2" name="Campo"/>
    <x:tableColumn id="3" name="0 pontos"/>
    <x:tableColumn id="4" name="1 ponto"/>
    <x:tableColumn id="5" name="2 pontos"/>
    <x:tableColumn id="6" name="3 pontos"/>
    <x:tableColumn id="7" name="Aplicaçã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5cabd1d8531e40c4" /></Relationships>
</file>

<file path=xl/worksheets/_rels/sheet4.xml.rels>&#65279;<?xml version="1.0" encoding="utf-8"?><Relationships xmlns="http://schemas.openxmlformats.org/package/2006/relationships"><Relationship Type="http://schemas.openxmlformats.org/officeDocument/2006/relationships/table" Target="/xl/tables/table2.xml" Id="R5235ed8778f24f34" /></Relationships>
</file>

<file path=xl/worksheets/_rels/sheet5.xml.rels>&#65279;<?xml version="1.0" encoding="utf-8"?><Relationships xmlns="http://schemas.openxmlformats.org/package/2006/relationships"><Relationship Type="http://schemas.openxmlformats.org/officeDocument/2006/relationships/table" Target="/xl/tables/table3.xml" Id="R53b37d1ce02c46ff" /></Relationships>
</file>

<file path=xl/worksheets/sheet1.xml><?xml version="1.0" encoding="utf-8"?>
<x:worksheet xmlns:x="http://schemas.openxmlformats.org/spreadsheetml/2006/main">
  <x:sheetViews>
    <x:sheetView showGridLines="0" workbookViewId="0"/>
  </x:sheetViews>
  <x:sheetFormatPr defaultRowHeight="15"/>
  <x:cols>
    <x:col min="1" max="1" width="18.75" hidden="0" customWidth="1"/>
    <x:col min="2" max="2" width="27.5" hidden="0" customWidth="1"/>
    <x:col min="3" max="3" width="30.6299991607666" hidden="0" customWidth="1"/>
    <x:col min="4" max="4" width="13.130000114440918" hidden="0" customWidth="1"/>
    <x:col min="5" max="5" width="20" hidden="0" customWidth="1"/>
    <x:col min="6" max="6" width="30.6299991607666" hidden="0" customWidth="1"/>
    <x:col min="7" max="7" width="31.25" hidden="0" customWidth="1"/>
    <x:col min="8" max="8" width="50.630001068115234" hidden="0" customWidth="1"/>
    <x:col min="9" max="9" width="10.630000114440918" hidden="0" customWidth="1"/>
    <x:col min="10" max="10" width="11.25" hidden="0" customWidth="1"/>
  </x:cols>
  <x:sheetData>
    <x:row r="1" ht="28" customHeight="1">
      <x:c r="A1" s="3" t="str">
        <x:v>AGF Capital — Leads Outbound | Puxada 1</x:v>
      </x:c>
      <x:c r="B1" s="3"/>
      <x:c r="C1" s="3"/>
      <x:c r="D1" s="3"/>
      <x:c r="E1" s="3"/>
      <x:c r="F1" s="3"/>
      <x:c r="G1" s="3"/>
      <x:c r="H1" s="3"/>
      <x:c r="I1" s="3"/>
      <x:c r="J1" s="3"/>
    </x:row>
    <x:row r="2" ht="22" customHeight="1">
      <x:c r="A2" s="6" t="str">
        <x:v>Pesquisa humana assistida no LinkedIn • 15 jul. 2026 • Sem contato ou acompanhamento nesta etapa</x:v>
      </x:c>
      <x:c r="B2" s="6"/>
      <x:c r="C2" s="6"/>
      <x:c r="D2" s="6"/>
      <x:c r="E2" s="6"/>
      <x:c r="F2" s="6"/>
      <x:c r="G2" s="6"/>
      <x:c r="H2" s="6"/>
      <x:c r="I2" s="6"/>
      <x:c r="J2" s="6"/>
    </x:row>
    <x:row r="4" ht="32" customHeight="1">
      <x:c r="A4" s="12" t="str">
        <x:v>Empresa</x:v>
      </x:c>
      <x:c r="B4" s="12" t="str">
        <x:v>Vaga (sinal)</x:v>
      </x:c>
      <x:c r="C4" s="12" t="str">
        <x:v>Link da vaga</x:v>
      </x:c>
      <x:c r="D4" s="12" t="str">
        <x:v>Descoberto em</x:v>
      </x:c>
      <x:c r="E4" s="12" t="str">
        <x:v>Contato prioritário</x:v>
      </x:c>
      <x:c r="F4" s="12" t="str">
        <x:v>Cargo atual</x:v>
      </x:c>
      <x:c r="G4" s="12" t="str">
        <x:v>LinkedIn</x:v>
      </x:c>
      <x:c r="H4" s="12" t="str">
        <x:v>Evidência de qualificação</x:v>
      </x:c>
      <x:c r="I4" s="12" t="str">
        <x:v>Pontuação</x:v>
      </x:c>
      <x:c r="J4" s="12" t="str">
        <x:v>Prioridade</x:v>
      </x:c>
    </x:row>
    <x:row r="5" ht="56" customHeight="1">
      <x:c r="A5" s="20" t="str">
        <x:v>Amaggi</x:v>
      </x:c>
      <x:c r="B5" s="20" t="str">
        <x:v>Analista de Planejamento Financeiro e Relações com Investidores</x:v>
      </x:c>
      <x:c r="C5" s="20" t="str">
        <x:v>https://www.linkedin.com/jobs/view/4439340767/</x:v>
      </x:c>
      <x:c r="D5" s="23" t="n">
        <x:v>46218</x:v>
      </x:c>
      <x:c r="E5" s="20" t="str">
        <x:v>Rafael C. L. Biasoli</x:v>
      </x:c>
      <x:c r="F5" s="20" t="str">
        <x:v>CFO / Diretor Financeiro e de Relações com Investidores na AMAGGI</x:v>
      </x:c>
      <x:c r="G5" s="20" t="str">
        <x:v>https://www.linkedin.com/in/rafaelbiasoli/</x:v>
      </x:c>
      <x:c r="H5" s="20" t="str">
        <x:v>Vaga em Cuiabá publicada há 4 dias e ainda em avaliação. A página da empresa indica 5.001–10.000 funcionários; há sinal público de reforço em planejamento financeiro e RI.</x:v>
      </x:c>
      <x:c r="I5" s="26" t="n">
        <x:v>7</x:v>
      </x:c>
      <x:c r="J5" s="26" t="str">
        <x:v>Alta</x:v>
      </x:c>
    </x:row>
    <x:row r="6" ht="56" customHeight="1">
      <x:c r="A6" s="21" t="str">
        <x:v>Longitude Incorporadora</x:v>
      </x:c>
      <x:c r="B6" s="21" t="str">
        <x:v>Especialista de Planejamento Financeiro e RI</x:v>
      </x:c>
      <x:c r="C6" s="21" t="str">
        <x:v>https://www.linkedin.com/jobs/view/4440090703/</x:v>
      </x:c>
      <x:c r="D6" s="24" t="n">
        <x:v>46218</x:v>
      </x:c>
      <x:c r="E6" s="21" t="str">
        <x:v>Gonçalo Matarazzo</x:v>
      </x:c>
      <x:c r="F6" s="21" t="str">
        <x:v>Co-fundador e Co-CEO na Longitude Incorporadora</x:v>
      </x:c>
      <x:c r="G6" s="21" t="str">
        <x:v>https://www.linkedin.com/in/gon%C3%A7alo-matarazzo-8013221b/</x:v>
      </x:c>
      <x:c r="H6" s="21" t="str">
        <x:v>Vaga híbrida em São Paulo publicada há 1 dia. A página da empresa indica 201–500 funcionários; a posição combina planejamento financeiro e relações com investidores.</x:v>
      </x:c>
      <x:c r="I6" s="27" t="n">
        <x:v>7</x:v>
      </x:c>
      <x:c r="J6" s="27" t="str">
        <x:v>Alta</x:v>
      </x:c>
    </x:row>
    <x:row r="7" ht="56" customHeight="1">
      <x:c r="A7" s="21" t="str">
        <x:v>ZAMP</x:v>
      </x:c>
      <x:c r="B7" s="21" t="str">
        <x:v>Coordenador de FP&amp;A</x:v>
      </x:c>
      <x:c r="C7" s="21" t="str">
        <x:v>https://www.linkedin.com/jobs/view/4427355300/</x:v>
      </x:c>
      <x:c r="D7" s="24" t="n">
        <x:v>46218</x:v>
      </x:c>
      <x:c r="E7" s="21" t="str">
        <x:v>Guilherme Favaro</x:v>
      </x:c>
      <x:c r="F7" s="21" t="str">
        <x:v>VP na ZAMP | CEO da Popeyes Brasil</x:v>
      </x:c>
      <x:c r="G7" s="21" t="str">
        <x:v>https://www.linkedin.com/in/gaf/</x:v>
      </x:c>
      <x:c r="H7" s="21" t="str">
        <x:v>Vaga híbrida em São Paulo publicada há cerca de um mês e ainda em avaliação. A página da ZAMP indica mais de 10.000 funcionários; a coordenação de FP&amp;A é sinal direto de demanda de capacidade financeira.</x:v>
      </x:c>
      <x:c r="I7" s="27" t="n">
        <x:v>7</x:v>
      </x:c>
      <x:c r="J7" s="27" t="str">
        <x:v>Alta</x:v>
      </x:c>
    </x:row>
    <x:row r="8" ht="56" customHeight="1">
      <x:c r="A8" s="21" t="str">
        <x:v>JHSF</x:v>
      </x:c>
      <x:c r="B8" s="21" t="str">
        <x:v>Analista de Planejamento Financeiro Jr | Retail</x:v>
      </x:c>
      <x:c r="C8" s="21" t="str">
        <x:v>https://www.linkedin.com/jobs/view/4437299602/</x:v>
      </x:c>
      <x:c r="D8" s="24" t="n">
        <x:v>46218</x:v>
      </x:c>
      <x:c r="E8" s="21" t="str">
        <x:v>Thiago Alonso de Oliveira</x:v>
      </x:c>
      <x:c r="F8" s="21" t="str">
        <x:v>CEO at JHSF (UK)</x:v>
      </x:c>
      <x:c r="G8" s="21" t="str">
        <x:v>https://www.linkedin.com/in/thiago-alonso-de-oliveira-7b54711/</x:v>
      </x:c>
      <x:c r="H8" s="21" t="str">
        <x:v>Vaga presencial em São Paulo publicada há 1 dia. A página da empresa indica 1.001–5.000 funcionários; a função reforça a capacidade de planejamento financeiro na operação de varejo.</x:v>
      </x:c>
      <x:c r="I8" s="27" t="n">
        <x:v>6</x:v>
      </x:c>
      <x:c r="J8" s="27" t="str">
        <x:v>Média</x:v>
      </x:c>
    </x:row>
    <x:row r="9" ht="56" customHeight="1">
      <x:c r="A9" s="22" t="str">
        <x:v>ESTADÃO</x:v>
      </x:c>
      <x:c r="B9" s="22" t="str">
        <x:v>Analista de Planejamento Financeiro Jr</x:v>
      </x:c>
      <x:c r="C9" s="22" t="str">
        <x:v>https://www.linkedin.com/jobs/view/4438124295/</x:v>
      </x:c>
      <x:c r="D9" s="25" t="n">
        <x:v>46218</x:v>
      </x:c>
      <x:c r="E9" s="22" t="str">
        <x:v>Omar Santos</x:v>
      </x:c>
      <x:c r="F9" s="22" t="str">
        <x:v>Diretor Executivo de Finanças, Operações e Serviços do Estadão</x:v>
      </x:c>
      <x:c r="G9" s="22" t="str">
        <x:v>https://www.linkedin.com/in/omardossantos/</x:v>
      </x:c>
      <x:c r="H9" s="22" t="str">
        <x:v>Vaga em São Paulo publicada há 1 semana. A página da empresa indica 1.001–5.000 funcionários; a contratação é um sinal público de aumento de capacidade no planejamento financeiro.</x:v>
      </x:c>
      <x:c r="I9" s="28" t="n">
        <x:v>6</x:v>
      </x:c>
      <x:c r="J9" s="28" t="str">
        <x:v>Média</x:v>
      </x:c>
    </x:row>
  </x:sheetData>
  <x:mergeCells>
    <x:mergeCell ref="A1:J1"/>
    <x:mergeCell ref="A2:J2"/>
  </x:mergeCells>
  <x:conditionalFormatting sqref="I5:I9">
    <x:cfRule type="cellIs" dxfId="0" priority="1" operator="greaterThanOrEqual">
      <x:formula>7</x:formula>
    </x:cfRule>
    <x:cfRule type="cellIs" dxfId="1" priority="2" operator="between">
      <x:formula>4</x:formula>
      <x:formula>6</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72.5" hidden="0" customWidth="1"/>
    <x:col min="3" max="3" width="10" hidden="0" customWidth="1"/>
  </x:cols>
  <x:sheetData>
    <x:row r="1" ht="28" customHeight="1">
      <x:c r="A1" s="30" t="str">
        <x:v>Rubrica aplicada nesta puxada</x:v>
      </x:c>
      <x:c r="B1" s="30"/>
      <x:c r="C1" s="30"/>
    </x:row>
    <x:row r="3" ht="26" customHeight="1">
      <x:c r="A3" s="9" t="str">
        <x:v>Critério</x:v>
      </x:c>
      <x:c r="B3" s="9" t="str">
        <x:v>Regra</x:v>
      </x:c>
      <x:c r="C3" s="9" t="str">
        <x:v>Pontos</x:v>
      </x:c>
    </x:row>
    <x:row r="4" ht="42" customHeight="1">
      <x:c r="A4" s="20" t="str">
        <x:v>Urgência</x:v>
      </x:c>
      <x:c r="B4" s="20" t="str">
        <x:v>Coordenação/gerência/head ou 2+ vagas = 3; pleno/sênior/especialista = 2; júnior ou sem senioridade = 1.</x:v>
      </x:c>
      <x:c r="C4" s="20" t="str">
        <x:v>0–3</x:v>
      </x:c>
    </x:row>
    <x:row r="5" ht="42" customHeight="1">
      <x:c r="A5" s="21" t="str">
        <x:v>Recência</x:v>
      </x:c>
      <x:c r="B5" s="21" t="str">
        <x:v>Até 7 dias = 2; de 8 a 30 dias = 1.</x:v>
      </x:c>
      <x:c r="C5" s="21" t="str">
        <x:v>0–2</x:v>
      </x:c>
    </x:row>
    <x:row r="6" ht="42" customHeight="1">
      <x:c r="A6" s="21" t="str">
        <x:v>Porte</x:v>
      </x:c>
      <x:c r="B6" s="21" t="str">
        <x:v>Faturamento público ≥ R$ 50 mi = 2; porte LinkedIn de 100+ pessoas = 1.</x:v>
      </x:c>
      <x:c r="C6" s="21" t="str">
        <x:v>0–2</x:v>
      </x:c>
    </x:row>
    <x:row r="7" ht="42" customHeight="1">
      <x:c r="A7" s="21" t="str">
        <x:v>Decisor</x:v>
      </x:c>
      <x:c r="B7" s="21" t="str">
        <x:v>CFO ou CEO = 2; gestor/recrutador interno, se necessário = 1.</x:v>
      </x:c>
      <x:c r="C7" s="21" t="str">
        <x:v>0–2</x:v>
      </x:c>
    </x:row>
    <x:row r="8" ht="42" customHeight="1">
      <x:c r="A8" s="21" t="str">
        <x:v>Localização</x:v>
      </x:c>
      <x:c r="B8" s="21" t="str">
        <x:v>Empresa fora do eixo Rio–São Paulo = 1; demais casos = 0.</x:v>
      </x:c>
      <x:c r="C8" s="21" t="str">
        <x:v>0–1</x:v>
      </x:c>
    </x:row>
    <x:row r="9" ht="42" customHeight="1">
      <x:c r="A9" s="21" t="str">
        <x:v>Entrada</x:v>
      </x:c>
      <x:c r="B9" s="21" t="str">
        <x:v>Lead entra a partir de 4 pontos; 4 é classificado como exploratório.</x:v>
      </x:c>
      <x:c r="C9" s="21" t="str">
        <x:v>≥ 4</x:v>
      </x:c>
    </x:row>
    <x:row r="10" ht="42" customHeight="1">
      <x:c r="A10" s="22" t="str">
        <x:v>Escopo</x:v>
      </x:c>
      <x:c r="B10" s="22" t="str">
        <x:v>Somente descoberta: não há contato, revisão de lotes anteriores ou follow-up.</x:v>
      </x:c>
      <x:c r="C10" s="22" t="str">
        <x:v>—</x:v>
      </x:c>
    </x:row>
  </x:sheetData>
  <x:mergeCells>
    <x:mergeCell ref="A1:C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22" hidden="0" customWidth="1"/>
    <x:col min="4" max="4" width="31" hidden="0" customWidth="1"/>
    <x:col min="5" max="5" width="29" hidden="0" customWidth="1"/>
    <x:col min="6" max="6" width="18" hidden="0" customWidth="1"/>
    <x:col min="7" max="7" width="42" hidden="0" customWidth="1"/>
    <x:col min="8" max="8" width="23" hidden="0" customWidth="1"/>
    <x:col min="9" max="9" width="31" hidden="0" customWidth="1"/>
    <x:col min="10" max="10" width="40" hidden="0" customWidth="1"/>
    <x:col min="11" max="11" width="42" hidden="0" customWidth="1"/>
    <x:col min="12" max="12" width="47" hidden="0" customWidth="1"/>
    <x:col min="13" max="13" width="48" hidden="0" customWidth="1"/>
    <x:col min="14" max="14" width="12" hidden="0" customWidth="1"/>
    <x:col min="15" max="15" width="16" hidden="0" customWidth="1"/>
    <x:col min="16" max="16" width="12" hidden="0" customWidth="1"/>
    <x:col min="17" max="17" width="14" hidden="0" customWidth="1"/>
    <x:col min="18" max="18" width="16" hidden="0" customWidth="1"/>
    <x:col min="19" max="19" width="38" hidden="0" customWidth="1"/>
    <x:col min="20" max="20" width="18" hidden="0" customWidth="1"/>
    <x:col min="21" max="21" width="14" hidden="0" customWidth="1"/>
    <x:col min="22" max="22" width="31" hidden="0" customWidth="1"/>
    <x:col min="23" max="23" width="20" hidden="0" customWidth="1"/>
    <x:col min="24" max="24" width="58" hidden="0" customWidth="1"/>
  </x:cols>
  <x:sheetData>
    <x:row r="1" ht="28" customHeight="1">
      <x:c r="A1" s="34" t="str">
        <x:v>Puxada 21/07/2026 — Vagas: leads quentes</x:v>
      </x:c>
    </x:row>
    <x:row r="2" ht="33" customHeight="1">
      <x:c r="A2" s="38" t="str">
        <x:v>10 empresas com vaga financeira ativa. Critério de entrada: total base ≥3/8. Em empresas grandes (Porte 3), o contato é o líder direto da área da vaga; em médias/menores, C-level. O bônus de entrada (0–2) não altera a qualificação-base.</x:v>
      </x:c>
    </x:row>
    <x:row r="3" ht="42" customHeight="1">
      <x:c r="A3" s="43" t="str">
        <x:v>ID</x:v>
      </x:c>
      <x:c r="B3" s="43" t="str">
        <x:v>Empresa</x:v>
      </x:c>
      <x:c r="C3" s="43" t="str">
        <x:v>Setor / localização</x:v>
      </x:c>
      <x:c r="D3" s="43" t="str">
        <x:v>Porte / proxy</x:v>
      </x:c>
      <x:c r="E3" s="43" t="str">
        <x:v>Sinal qualificado</x:v>
      </x:c>
      <x:c r="F3" s="43" t="str">
        <x:v>Data do sinal</x:v>
      </x:c>
      <x:c r="G3" s="43" t="str">
        <x:v>Link do sinal</x:v>
      </x:c>
      <x:c r="H3" s="43" t="str">
        <x:v>Contato prioritário</x:v>
      </x:c>
      <x:c r="I3" s="43" t="str">
        <x:v>Cargo / trajetória</x:v>
      </x:c>
      <x:c r="J3" s="43" t="str">
        <x:v>LinkedIn</x:v>
      </x:c>
      <x:c r="K3" s="43" t="str">
        <x:v>Contexto do lead</x:v>
      </x:c>
      <x:c r="L3" s="43" t="str">
        <x:v>Notícia / momento recente (≤6 meses)</x:v>
      </x:c>
      <x:c r="M3" s="43" t="str">
        <x:v>Fonte da notícia</x:v>
      </x:c>
      <x:c r="N3" s="43" t="str">
        <x:v>Porte (0–3)</x:v>
      </x:c>
      <x:c r="O3" s="43" t="str">
        <x:v>Urgência / momento (0–3)</x:v>
      </x:c>
      <x:c r="P3" s="43" t="str">
        <x:v>Decisor (0–2)</x:v>
      </x:c>
      <x:c r="Q3" s="43" t="str">
        <x:v>Total base (0–8)</x:v>
      </x:c>
      <x:c r="R3" s="43" t="str">
        <x:v>Bônus de entrada (0–2)</x:v>
      </x:c>
      <x:c r="S3" s="43" t="str">
        <x:v>Critério do bônus</x:v>
      </x:c>
      <x:c r="T3" s="43" t="str">
        <x:v>Score comercial (0–10)</x:v>
      </x:c>
      <x:c r="U3" s="43" t="str">
        <x:v>Prioridade</x:v>
      </x:c>
      <x:c r="V3" s="43" t="str">
        <x:v>Fit do contato</x:v>
      </x:c>
      <x:c r="W3" s="43" t="str">
        <x:v>Remetente recomendado</x:v>
      </x:c>
      <x:c r="X3" s="43" t="str">
        <x:v>Rascunho de mensagem</x:v>
      </x:c>
    </x:row>
    <x:row r="4" ht="112" customHeight="1">
      <x:c r="A4" s="47" t="str">
        <x:v>V-2026-001</x:v>
      </x:c>
      <x:c r="B4" s="46" t="str">
        <x:v>Blau Farmacêutica</x:v>
      </x:c>
      <x:c r="C4" s="46" t="str">
        <x:v>Farmacêutica hospitalar | Cotia, SP</x:v>
      </x:c>
      <x:c r="D4" s="46" t="str">
        <x:v>Grande/listada; receita líquida 1T26 de R$ 435 mi</x:v>
      </x:c>
      <x:c r="E4" s="46" t="str">
        <x:v>Vaga: Especialista de Planejamento Financeiro</x:v>
      </x:c>
      <x:c r="F4" s="46" t="str">
        <x:v>Vaga ativa — 21/07/2026</x:v>
      </x:c>
      <x:c r="G4" s="46" t="str">
        <x:v>https://www.linkedin.com/jobs/view/4438409794/</x:v>
      </x:c>
      <x:c r="H4" s="48" t="str">
        <x:v>Edison Rodrigues</x:v>
      </x:c>
      <x:c r="I4" s="46" t="str">
        <x:v>Gerente de Planejamento Financeiro Sr.; experiência em FP&amp;A, controladoria, valuation, KPIs e OBZ.</x:v>
      </x:c>
      <x:c r="J4" s="46" t="str">
        <x:v>https://www.linkedin.com/in/edisonrodrigues1910/</x:v>
      </x:c>
      <x:c r="K4" s="46" t="str">
        <x:v>Gerente sênior responsável por Planejamento Financeiro na Blau; contato direto da área da vaga, em vez de C-level, conforme a regra para empresas grandes.</x:v>
      </x:c>
      <x:c r="L4" s="46" t="str">
        <x:v>No 1T26, a receita líquida foi de R$ 435 mi (+17% a/a) e o EBITDA recorrente, R$ 104 mi (+25% a/a).</x:v>
      </x:c>
      <x:c r="M4" s="46" t="str">
        <x:v>Blau RI — resultados 1T26 | https://investidor10.com.br/acoes/link_comunicado/BLAU3/41357/</x:v>
      </x:c>
      <x:c r="N4" s="51" t="n">
        <x:v>3</x:v>
      </x:c>
      <x:c r="O4" s="51" t="n">
        <x:v>2</x:v>
      </x:c>
      <x:c r="P4" s="51" t="n">
        <x:v>2</x:v>
      </x:c>
      <x:c r="Q4" s="51" t="n">
        <x:f>SUM(N4:P4)</x:f>
        <x:v>7</x:v>
      </x:c>
      <x:c r="R4" s="51" t="n">
        <x:v>1</x:v>
      </x:c>
      <x:c r="S4" s="46" t="str">
        <x:v>Indústria farmacêutica (economia real) no eixo SP.</x:v>
      </x:c>
      <x:c r="T4" s="51" t="n">
        <x:f>Q4+R4</x:f>
        <x:v>8</x:v>
      </x:c>
      <x:c r="U4" s="51" t="str">
        <x:v>Alta</x:v>
      </x:c>
      <x:c r="V4" s="46" t="str">
        <x:v>Finanças corporativas e transformação operacional.</x:v>
      </x:c>
      <x:c r="W4" s="46" t="str">
        <x:v>Giulio (padrão)</x:v>
      </x:c>
      <x:c r="X4" s="46" t="str">
        <x:v>Edison, tudo bem? Obrigado por aceitar o convite.
Vi a busca da Blau por uma pessoa para Planejamento Financeiro.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5" ht="112" customHeight="1">
      <x:c r="A5" s="47" t="str">
        <x:v>V-2026-002</x:v>
      </x:c>
      <x:c r="B5" s="46" t="str">
        <x:v>Viveo</x:v>
      </x:c>
      <x:c r="C5" s="46" t="str">
        <x:v>Saúde e distribuição | São Paulo, SP</x:v>
      </x:c>
      <x:c r="D5" s="46" t="str">
        <x:v>Grande/listada; operação nacional de saúde</x:v>
      </x:c>
      <x:c r="E5" s="46" t="str">
        <x:v>Vaga: Coordenador Financeiro — Tesouraria e Crédito</x:v>
      </x:c>
      <x:c r="F5" s="46" t="str">
        <x:v>Vaga ativa — 21/07/2026</x:v>
      </x:c>
      <x:c r="G5" s="46" t="str">
        <x:v>https://www.linkedin.com/jobs/view/4440129690/</x:v>
      </x:c>
      <x:c r="H5" s="48" t="str">
        <x:v>Silayne Lima</x:v>
      </x:c>
      <x:c r="I5" s="46" t="str">
        <x:v>Coordenadora Financeira; lidera operações financeiras, transformação digital e automação de processos.</x:v>
      </x:c>
      <x:c r="J5" s="46" t="str">
        <x:v>https://www.linkedin.com/in/silayne-lima/</x:v>
      </x:c>
      <x:c r="K5" s="46" t="str">
        <x:v>Líder de operações financeiras na Viveo; conduz contas a receber de 27 empresas do grupo, equipe direta e iniciativas de RPA. É o contato de área mais aderente ao sinal de tesouraria e crédito.</x:v>
      </x:c>
      <x:c r="L5" s="46" t="str">
        <x:v>Frederico assumiu como VP Financeiro / CFO &amp; IRO em março de 2026, em uma fase de gestão financeira e governança da companhia.</x:v>
      </x:c>
      <x:c r="M5" s="46" t="str">
        <x:v>Viveo RI — diretoria, 2026 | https://ri.viveo.com.br/governanca-corporativa/conselho-diretoria-e-comites/</x:v>
      </x:c>
      <x:c r="N5" s="51" t="n">
        <x:v>3</x:v>
      </x:c>
      <x:c r="O5" s="51" t="n">
        <x:v>3</x:v>
      </x:c>
      <x:c r="P5" s="51" t="n">
        <x:v>2</x:v>
      </x:c>
      <x:c r="Q5" s="51" t="n">
        <x:f>SUM(N5:P5)</x:f>
        <x:v>8</x:v>
      </x:c>
      <x:c r="R5" s="51" t="n">
        <x:v>1</x:v>
      </x:c>
      <x:c r="S5" s="46" t="str">
        <x:v>Distribuição de saúde (economia real) no eixo SP.</x:v>
      </x:c>
      <x:c r="T5" s="51" t="n">
        <x:f>Q5+R5</x:f>
        <x:v>9</x:v>
      </x:c>
      <x:c r="U5" s="51" t="str">
        <x:v>Alta</x:v>
      </x:c>
      <x:c r="V5" s="46" t="str">
        <x:v>Finanças, crédito e tesouraria corporativa.</x:v>
      </x:c>
      <x:c r="W5" s="46" t="str">
        <x:v>Giulio (padrão)</x:v>
      </x:c>
      <x:c r="X5" s="46" t="str">
        <x:v>Silayne, tudo bem? Obrigado por aceitar o convite.
Vi a busca da Viveo por Coordenação Financeira em Tesouraria e Crédito.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6" ht="112" customHeight="1">
      <x:c r="A6" s="47" t="str">
        <x:v>V-2026-003</x:v>
      </x:c>
      <x:c r="B6" s="46" t="str">
        <x:v>AB Mauri Brasil</x:v>
      </x:c>
      <x:c r="C6" s="46" t="str">
        <x:v>Ingredientes para panificação | São Paulo, SP</x:v>
      </x:c>
      <x:c r="D6" s="46" t="str">
        <x:v>Grande operação brasileira de grupo global</x:v>
      </x:c>
      <x:c r="E6" s="46" t="str">
        <x:v>Vaga temporária: Commercial Finance &amp; RGM</x:v>
      </x:c>
      <x:c r="F6" s="46" t="str">
        <x:v>Vaga ativa — 21/07/2026</x:v>
      </x:c>
      <x:c r="G6" s="46" t="str">
        <x:v>https://www.linkedin.com/jobs/view/4433889348/</x:v>
      </x:c>
      <x:c r="H6" s="48" t="str">
        <x:v>João Paulo Pires</x:v>
      </x:c>
      <x:c r="I6" s="46" t="str">
        <x:v>Gerente de RGM (Pricing, contratos e investimentos); trajetória em revenue management, performance e vendas.</x:v>
      </x:c>
      <x:c r="J6" s="46" t="str">
        <x:v>https://www.linkedin.com/in/joao-paulo-pires/</x:v>
      </x:c>
      <x:c r="K6" s="46" t="str">
        <x:v>Gerente diretamente responsável por RGM, pricing, contratos e investimentos na AB Mauri; é aderente à vaga de Commercial Finance &amp; RGM e substitui o C-level na regra de empresa grande.</x:v>
      </x:c>
      <x:c r="L6" s="46" t="str">
        <x:v>A AB Mauri anunciou acordo para adquirir a Casa de Bolos, sinal concreto de integração e gestão de crescimento.</x:v>
      </x:c>
      <x:c r="M6" s="46" t="str">
        <x:v>AB Mauri Brasil — aquisição Casa de Bolos, 2026 | https://www.abmauri.com.br/colabs/ab-mauri-brasil-assina-acordo-para-adquirir-a-casa-de-bolos/</x:v>
      </x:c>
      <x:c r="N6" s="51" t="n">
        <x:v>3</x:v>
      </x:c>
      <x:c r="O6" s="51" t="n">
        <x:v>2</x:v>
      </x:c>
      <x:c r="P6" s="51" t="n">
        <x:v>2</x:v>
      </x:c>
      <x:c r="Q6" s="51" t="n">
        <x:f>SUM(N6:P6)</x:f>
        <x:v>7</x:v>
      </x:c>
      <x:c r="R6" s="51" t="n">
        <x:v>1</x:v>
      </x:c>
      <x:c r="S6" s="46" t="str">
        <x:v>Indústria de alimentos/ingredientes (economia real) no eixo SP.</x:v>
      </x:c>
      <x:c r="T6" s="51" t="n">
        <x:f>Q6+R6</x:f>
        <x:v>8</x:v>
      </x:c>
      <x:c r="U6" s="51" t="str">
        <x:v>Alta</x:v>
      </x:c>
      <x:c r="V6" s="46" t="str">
        <x:v>Finanças corporativas em contexto de expansão e integração.</x:v>
      </x:c>
      <x:c r="W6" s="46" t="str">
        <x:v>Giulio (padrão)</x:v>
      </x:c>
      <x:c r="X6" s="46" t="str">
        <x:v>João, tudo bem? Obrigado por aceitar o convite.
Vi a aquisição da Casa de Bolos pela AB Mauri e a busca por Commercial Finance &amp; RGM.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7" ht="112" customHeight="1">
      <x:c r="A7" s="47" t="str">
        <x:v>V-2026-004</x:v>
      </x:c>
      <x:c r="B7" s="46" t="str">
        <x:v>DUX Company</x:v>
      </x:c>
      <x:c r="C7" s="46" t="str">
        <x:v>Nutrição e bem-estar | São Paulo, SP</x:v>
      </x:c>
      <x:c r="D7" s="46" t="str">
        <x:v>Empresa em crescimento; proxy de porte a validar</x:v>
      </x:c>
      <x:c r="E7" s="46" t="str">
        <x:v>Vaga: Especialista de FP&amp;A</x:v>
      </x:c>
      <x:c r="F7" s="46" t="str">
        <x:v>Vaga ativa — 21/07/2026</x:v>
      </x:c>
      <x:c r="G7" s="46" t="str">
        <x:v>https://www.linkedin.com/jobs/view/4418277752/</x:v>
      </x:c>
      <x:c r="H7" s="48" t="str">
        <x:v>Marcelo Pacífico</x:v>
      </x:c>
      <x:c r="I7" s="46" t="str">
        <x:v>Sócio-fundador; trajetória empreendedora e de construção de negócio.</x:v>
      </x:c>
      <x:c r="J7" s="46" t="str">
        <x:v>https://www.linkedin.com/in/marcelo-pacifico89/</x:v>
      </x:c>
      <x:c r="K7" s="46" t="str">
        <x:v>Sócio-fundador de companhia de consumo em expansão; a abertura de FP&amp;A é um sinal direto de profissionalização de planejamento.</x:v>
      </x:c>
      <x:c r="L7" s="46" t="str">
        <x:v>Sinal qualificado desta puxada: vaga ativa de Especialista de FP&amp;A. Não foi localizada notícia financeira pública adicional, relevante e verificável nos últimos 6 meses.</x:v>
      </x:c>
      <x:c r="M7" s="46" t="str">
        <x:v>LinkedIn Jobs — vaga ativa | https://www.linkedin.com/jobs/view/4418277752/</x:v>
      </x:c>
      <x:c r="N7" s="51" t="n">
        <x:v>2</x:v>
      </x:c>
      <x:c r="O7" s="51" t="n">
        <x:v>2</x:v>
      </x:c>
      <x:c r="P7" s="51" t="n">
        <x:v>2</x:v>
      </x:c>
      <x:c r="Q7" s="51" t="n">
        <x:f>SUM(N7:P7)</x:f>
        <x:v>6</x:v>
      </x:c>
      <x:c r="R7" s="51" t="n">
        <x:v>1</x:v>
      </x:c>
      <x:c r="S7" s="46" t="str">
        <x:v>Produtos de nutrição e consumo (economia real) no eixo SP.</x:v>
      </x:c>
      <x:c r="T7" s="51" t="n">
        <x:f>Q7+R7</x:f>
        <x:v>7</x:v>
      </x:c>
      <x:c r="U7" s="51" t="str">
        <x:v>Qualificada</x:v>
      </x:c>
      <x:c r="V7" s="46" t="str">
        <x:v>Construção de operação e planejamento financeiro em empresa de crescimento.</x:v>
      </x:c>
      <x:c r="W7" s="46" t="str">
        <x:v>Giulio (padrão)</x:v>
      </x:c>
      <x:c r="X7" s="46" t="str">
        <x:v>Marcelo, tudo bem? Obrigado por aceitar o convite.
Vi a busca da DUX por um Especialista de FP&amp;A.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8" ht="112" customHeight="1">
      <x:c r="A8" s="47" t="str">
        <x:v>V-2026-005</x:v>
      </x:c>
      <x:c r="B8" s="46" t="str">
        <x:v>Natura</x:v>
      </x:c>
      <x:c r="C8" s="46" t="str">
        <x:v>Beleza e cosméticos | São Paulo, SP</x:v>
      </x:c>
      <x:c r="D8" s="46" t="str">
        <x:v>Grande/listada; operação global</x:v>
      </x:c>
      <x:c r="E8" s="46" t="str">
        <x:v>Vaga: Analista de FP&amp;A Júnior</x:v>
      </x:c>
      <x:c r="F8" s="46" t="str">
        <x:v>Vaga ativa — 21/07/2026</x:v>
      </x:c>
      <x:c r="G8" s="46" t="str">
        <x:v>https://www.linkedin.com/jobs/view/4442248181/</x:v>
      </x:c>
      <x:c r="H8" s="48" t="str">
        <x:v>Caio de Lara</x:v>
      </x:c>
      <x:c r="I8" s="46" t="str">
        <x:v>Gerente Financeiro de Data &amp; Analytics em FP&amp;A; lidera digitalização e automação da área.</x:v>
      </x:c>
      <x:c r="J8" s="46" t="str">
        <x:v>https://www.linkedin.com/in/caiodelararpa/</x:v>
      </x:c>
      <x:c r="K8" s="46" t="str">
        <x:v>Gerente Financeiro de Data &amp; Analytics em FP&amp;A na Natura; desde 2024 lidera digitalização e automação da área, o que cria aderência direta à vaga de FP&amp;A e à proposta de IA da AGF.</x:v>
      </x:c>
      <x:c r="L8" s="46" t="str">
        <x:v>A Natura comunicou a entrada da Advent no capital e mudanças de governança em março de 2026.</x:v>
      </x:c>
      <x:c r="M8" s="46" t="str">
        <x:v>Natura RI — fato relevante, mar/2026 | https://api.mziq.com/mzfilemanager/v2/d/9e61d5ff-4641-4ec3-97a5-3595f938bb75/96efc9da-7d53-e245-8c10-56d6e613e725?origin=2</x:v>
      </x:c>
      <x:c r="N8" s="51" t="n">
        <x:v>3</x:v>
      </x:c>
      <x:c r="O8" s="51" t="n">
        <x:v>1</x:v>
      </x:c>
      <x:c r="P8" s="51" t="n">
        <x:v>2</x:v>
      </x:c>
      <x:c r="Q8" s="51" t="n">
        <x:f>SUM(N8:P8)</x:f>
        <x:v>6</x:v>
      </x:c>
      <x:c r="R8" s="51" t="n">
        <x:v>1</x:v>
      </x:c>
      <x:c r="S8" s="46" t="str">
        <x:v>Indústria de cosméticos e bens de consumo no eixo SP.</x:v>
      </x:c>
      <x:c r="T8" s="51" t="n">
        <x:f>Q8+R8</x:f>
        <x:v>7</x:v>
      </x:c>
      <x:c r="U8" s="51" t="str">
        <x:v>Qualificada</x:v>
      </x:c>
      <x:c r="V8" s="46" t="str">
        <x:v>Finanças estratégicas em operação complexa de consumo.</x:v>
      </x:c>
      <x:c r="W8" s="46" t="str">
        <x:v>Giulio (padrão)</x:v>
      </x:c>
      <x:c r="X8" s="46" t="str">
        <x:v>Caio, tudo bem? Obrigado por aceitar o convite.
Vi a reconfiguração de capital da Natura e a abertura para FP&amp;A.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9" ht="112" customHeight="1">
      <x:c r="A9" s="47" t="str">
        <x:v>V-2026-006</x:v>
      </x:c>
      <x:c r="B9" s="46" t="str">
        <x:v>Alelo</x:v>
      </x:c>
      <x:c r="C9" s="46" t="str">
        <x:v>Benefícios e pagamentos | Barueri, SP</x:v>
      </x:c>
      <x:c r="D9" s="46" t="str">
        <x:v>Grande empresa de serviços financeiros e benefícios</x:v>
      </x:c>
      <x:c r="E9" s="46" t="str">
        <x:v>Vaga: Especialista de Avaliação Econômico-Financeira</x:v>
      </x:c>
      <x:c r="F9" s="46" t="str">
        <x:v>Vaga ativa — 21/07/2026</x:v>
      </x:c>
      <x:c r="G9" s="46" t="str">
        <x:v>https://www.linkedin.com/jobs/view/4437717461/</x:v>
      </x:c>
      <x:c r="H9" s="48" t="str">
        <x:v>Delaine Ferreira</x:v>
      </x:c>
      <x:c r="I9" s="46" t="str">
        <x:v>Gerente Financeira; experiência em FP&amp;A, planejamento estratégico, controladoria e business cases.</x:v>
      </x:c>
      <x:c r="J9" s="46" t="str">
        <x:v>https://www.linkedin.com/in/delaine-ferreira-60135880/</x:v>
      </x:c>
      <x:c r="K9" s="46" t="str">
        <x:v>Gerente Financeira na Alelo, com histórico em planejamento, cenários, M&amp;A, business cases e indicadores. É a líder de área aderente à vaga de Avaliação Econômico-Financeira.</x:v>
      </x:c>
      <x:c r="L9" s="46" t="str">
        <x:v>A Alelo anunciou oficialmente Márcio Alencar como novo CEO em 2025, com agenda pública de continuidade e evolução do negócio em 2026.</x:v>
      </x:c>
      <x:c r="M9" s="46" t="str">
        <x:v>Alelo no LinkedIn — anúncio de CEO | https://pt.linkedin.com/posts/alelo-brasil_%C3%A9-com-muito-orgulho-que-anunciamos-oficialmente-activity-7386148935972589569-V0wm</x:v>
      </x:c>
      <x:c r="N9" s="51" t="n">
        <x:v>3</x:v>
      </x:c>
      <x:c r="O9" s="51" t="n">
        <x:v>2</x:v>
      </x:c>
      <x:c r="P9" s="51" t="n">
        <x:v>2</x:v>
      </x:c>
      <x:c r="Q9" s="51" t="n">
        <x:f>SUM(N9:P9)</x:f>
        <x:v>7</x:v>
      </x:c>
      <x:c r="R9" s="51" t="n">
        <x:v>0</x:v>
      </x:c>
      <x:c r="S9" s="46" t="str">
        <x:v>Serviços de pagamentos/benefícios; sem bônus de economia real.</x:v>
      </x:c>
      <x:c r="T9" s="51" t="n">
        <x:f>Q9+R9</x:f>
        <x:v>7</x:v>
      </x:c>
      <x:c r="U9" s="51" t="str">
        <x:v>Alta</x:v>
      </x:c>
      <x:c r="V9" s="46" t="str">
        <x:v>Finanças corporativas e eficiência em serviços financeiros.</x:v>
      </x:c>
      <x:c r="W9" s="46" t="str">
        <x:v>Giulio (padrão)</x:v>
      </x:c>
      <x:c r="X9" s="46" t="str">
        <x:v>Delaine, tudo bem? Obrigado por aceitar o convite.
Vi a transição de liderança na Alelo e a busca por Avaliação Econômico-Financeira.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0" ht="112" customHeight="1">
      <x:c r="A10" s="47" t="str">
        <x:v>V-2026-007</x:v>
      </x:c>
      <x:c r="B10" s="46" t="str">
        <x:v>Visão Implantes</x:v>
      </x:c>
      <x:c r="C10" s="46" t="str">
        <x:v>Saúde odontológica | Belo Horizonte, MG</x:v>
      </x:c>
      <x:c r="D10" s="46" t="str">
        <x:v>Empresa de nicho em saúde; proxy de porte a validar</x:v>
      </x:c>
      <x:c r="E10" s="46" t="str">
        <x:v>Vaga: Especialista de FP&amp;A</x:v>
      </x:c>
      <x:c r="F10" s="46" t="str">
        <x:v>Vaga ativa — 21/07/2026</x:v>
      </x:c>
      <x:c r="G10" s="46" t="str">
        <x:v>https://www.linkedin.com/jobs/view/4439258377/</x:v>
      </x:c>
      <x:c r="H10" s="48" t="str">
        <x:v>Cyril Guena</x:v>
      </x:c>
      <x:c r="I10" s="46" t="str">
        <x:v>CEO; liderança executiva no setor de saúde odontológica.</x:v>
      </x:c>
      <x:c r="J10" s="46" t="str">
        <x:v>https://br.linkedin.com/in/cyril-guena-82386057</x:v>
      </x:c>
      <x:c r="K10" s="46" t="str">
        <x:v>CEO de empresa especializada em saúde; FP&amp;A é sinal explícito de estruturação da disciplina financeira.</x:v>
      </x:c>
      <x:c r="L10" s="46" t="str">
        <x:v>Sinal qualificado desta puxada: vaga ativa de Especialista de FP&amp;A. Não foi localizada notícia financeira pública adicional, relevante e verificável nos últimos 6 meses.</x:v>
      </x:c>
      <x:c r="M10" s="46" t="str">
        <x:v>LinkedIn Jobs — vaga ativa | https://www.linkedin.com/jobs/view/4439258377/</x:v>
      </x:c>
      <x:c r="N10" s="51" t="n">
        <x:v>2</x:v>
      </x:c>
      <x:c r="O10" s="51" t="n">
        <x:v>2</x:v>
      </x:c>
      <x:c r="P10" s="51" t="n">
        <x:v>2</x:v>
      </x:c>
      <x:c r="Q10" s="51" t="n">
        <x:f>SUM(N10:P10)</x:f>
        <x:v>6</x:v>
      </x:c>
      <x:c r="R10" s="51" t="n">
        <x:v>2</x:v>
      </x:c>
      <x:c r="S10" s="46" t="str">
        <x:v>Saúde odontológica (economia real) fora do eixo Rio–SP.</x:v>
      </x:c>
      <x:c r="T10" s="51" t="n">
        <x:f>Q10+R10</x:f>
        <x:v>8</x:v>
      </x:c>
      <x:c r="U10" s="51" t="str">
        <x:v>Qualificada</x:v>
      </x:c>
      <x:c r="V10" s="46" t="str">
        <x:v>Planejamento financeiro e ganho de escala em empresa de saúde.</x:v>
      </x:c>
      <x:c r="W10" s="46" t="str">
        <x:v>Giulio (padrão)</x:v>
      </x:c>
      <x:c r="X10" s="46" t="str">
        <x:v>Cyril, tudo bem? Obrigado por aceitar o convite.
Vi a busca da Visão Implantes por um Especialista de FP&amp;A.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1" ht="112" customHeight="1">
      <x:c r="A11" s="47" t="str">
        <x:v>V-2026-008</x:v>
      </x:c>
      <x:c r="B11" s="46" t="str">
        <x:v>Grupo Ultra Franquias</x:v>
      </x:c>
      <x:c r="C11" s="46" t="str">
        <x:v>Fitness e franquias | Brasília, DF</x:v>
      </x:c>
      <x:c r="D11" s="46" t="str">
        <x:v>Grupo regional em expansão; porte a validar</x:v>
      </x:c>
      <x:c r="E11" s="46" t="str">
        <x:v>Vaga: Coordenador Financeiro</x:v>
      </x:c>
      <x:c r="F11" s="46" t="str">
        <x:v>Vaga ativa — 21/07/2026</x:v>
      </x:c>
      <x:c r="G11" s="46" t="str">
        <x:v>https://www.linkedin.com/jobs/view/4436793574/</x:v>
      </x:c>
      <x:c r="H11" s="48" t="str">
        <x:v>Marcel Gandra</x:v>
      </x:c>
      <x:c r="I11" s="46" t="str">
        <x:v>Sócio-diretor; trajetória de gestão e expansão de franquias.</x:v>
      </x:c>
      <x:c r="J11" s="46" t="str">
        <x:v>https://br.linkedin.com/in/marcel-gandra-1475613b</x:v>
      </x:c>
      <x:c r="K11" s="46" t="str">
        <x:v>Sócio-diretor de rede de fitness em expansão; a combinação de nova unidade de grande porte e coordenação financeira é um sinal operacional forte.</x:v>
      </x:c>
      <x:c r="L11" s="46" t="str">
        <x:v>A Ultra Academia inaugurou em Brasília a maior unidade da rede, com 4.200 m², em março de 2026.</x:v>
      </x:c>
      <x:c r="M11" s="46" t="str">
        <x:v>Mercado &amp; Consumo — expansão Ultra, mar/2026 | https://mercadoeconsumo.com.br/25/03/2026/servicos/ultra-academia-inaugura-maior-unidade-da-rede-em-brasilia/</x:v>
      </x:c>
      <x:c r="N11" s="51" t="n">
        <x:v>2</x:v>
      </x:c>
      <x:c r="O11" s="51" t="n">
        <x:v>3</x:v>
      </x:c>
      <x:c r="P11" s="51" t="n">
        <x:v>2</x:v>
      </x:c>
      <x:c r="Q11" s="51" t="n">
        <x:f>SUM(N11:P11)</x:f>
        <x:v>7</x:v>
      </x:c>
      <x:c r="R11" s="51" t="n">
        <x:v>2</x:v>
      </x:c>
      <x:c r="S11" s="46" t="str">
        <x:v>Franquias e fitness (economia real) fora do eixo Rio–SP.</x:v>
      </x:c>
      <x:c r="T11" s="51" t="n">
        <x:f>Q11+R11</x:f>
        <x:v>9</x:v>
      </x:c>
      <x:c r="U11" s="51" t="str">
        <x:v>Alta</x:v>
      </x:c>
      <x:c r="V11" s="46" t="str">
        <x:v>Expansão operacional, franquias e estruturação financeira.</x:v>
      </x:c>
      <x:c r="W11" s="46" t="str">
        <x:v>Giulio (padrão)</x:v>
      </x:c>
      <x:c r="X11" s="46" t="str">
        <x:v>Marcel, tudo bem? Obrigado por aceitar o convite.
Vi a abertura da maior unidade da Ultra em Brasília e a busca por Coordenação Financeira.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2" ht="112" customHeight="1">
      <x:c r="A12" s="47" t="str">
        <x:v>V-2026-009</x:v>
      </x:c>
      <x:c r="B12" s="46" t="str">
        <x:v>Braveo</x:v>
      </x:c>
      <x:c r="C12" s="46" t="str">
        <x:v>Distribuição e logística | São Paulo, SP</x:v>
      </x:c>
      <x:c r="D12" s="46" t="str">
        <x:v>Operação de distribuição em escala nacional</x:v>
      </x:c>
      <x:c r="E12" s="46" t="str">
        <x:v>Vaga: Analista de Planejamento Financeiro</x:v>
      </x:c>
      <x:c r="F12" s="46" t="str">
        <x:v>Vaga ativa — 21/07/2026</x:v>
      </x:c>
      <x:c r="G12" s="46" t="str">
        <x:v>https://www.linkedin.com/jobs/view/4440193086/</x:v>
      </x:c>
      <x:c r="H12" s="48" t="str">
        <x:v>Daniele Bermudes</x:v>
      </x:c>
      <x:c r="I12" s="46" t="str">
        <x:v>Coordenadora de FP&amp;A; experiência em controladoria, planejamento financeiro, orçamento, forecast e dashboards.</x:v>
      </x:c>
      <x:c r="J12" s="46" t="str">
        <x:v>https://www.linkedin.com/in/daniele-bermudes-39a70334/</x:v>
      </x:c>
      <x:c r="K12" s="46" t="str">
        <x:v>Coordenadora de FP&amp;A na Braveo, diretamente ligada ao escopo da vaga. Atua com P&amp;L, orçamento, forecast, viabilidade, processos e KPIs financeiros.</x:v>
      </x:c>
      <x:c r="L12" s="46" t="str">
        <x:v>Em comunicação de início de 2026, o CEO descreveu 2025 como ano marcante e 2026 como ciclo de execução da estratégia e da escala construída.</x:v>
      </x:c>
      <x:c r="M12" s="46" t="str">
        <x:v>Ricardo Botelho no LinkedIn — agenda 2026 | https://pt.linkedin.com/posts/ricardo-botelho-a1b91128a_encerramos-um-ano-marcante-na-hist%C3%B3ria-da-braveo-activity-7411799378220236800-Ku7N</x:v>
      </x:c>
      <x:c r="N12" s="51" t="n">
        <x:v>3</x:v>
      </x:c>
      <x:c r="O12" s="51" t="n">
        <x:v>1</x:v>
      </x:c>
      <x:c r="P12" s="51" t="n">
        <x:v>2</x:v>
      </x:c>
      <x:c r="Q12" s="51" t="n">
        <x:f>SUM(N12:P12)</x:f>
        <x:v>6</x:v>
      </x:c>
      <x:c r="R12" s="51" t="n">
        <x:v>1</x:v>
      </x:c>
      <x:c r="S12" s="46" t="str">
        <x:v>Distribuição e logística (economia real) no eixo SP.</x:v>
      </x:c>
      <x:c r="T12" s="51" t="n">
        <x:f>Q12+R12</x:f>
        <x:v>7</x:v>
      </x:c>
      <x:c r="U12" s="51" t="str">
        <x:v>Qualificada</x:v>
      </x:c>
      <x:c r="V12" s="46" t="str">
        <x:v>Operações, planejamento financeiro e eficiência em distribuição.</x:v>
      </x:c>
      <x:c r="W12" s="46" t="str">
        <x:v>Giulio (padrão)</x:v>
      </x:c>
      <x:c r="X12" s="46" t="str">
        <x:v>Daniele, tudo bem? Obrigado por aceitar o convite.
Vi a busca da Braveo por Planejamento Financeiro no momento de execução da estratégia de 2026.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3" ht="112" customHeight="1">
      <x:c r="A13" s="47" t="str">
        <x:v>V-2026-010</x:v>
      </x:c>
      <x:c r="B13" s="46" t="str">
        <x:v>VR</x:v>
      </x:c>
      <x:c r="C13" s="46" t="str">
        <x:v>Benefícios e mobilidade | São Paulo, SP</x:v>
      </x:c>
      <x:c r="D13" s="46" t="str">
        <x:v>Grande empresa de benefícios e tecnologia</x:v>
      </x:c>
      <x:c r="E13" s="46" t="str">
        <x:v>Vaga: Coordenador de FP&amp;A e MIS</x:v>
      </x:c>
      <x:c r="F13" s="46" t="str">
        <x:v>Vaga ativa — 21/07/2026</x:v>
      </x:c>
      <x:c r="G13" s="46" t="str">
        <x:v>https://www.linkedin.com/jobs/view/4441325878/</x:v>
      </x:c>
      <x:c r="H13" s="48" t="str">
        <x:v>Revisar — líder de FP&amp;A e MIS</x:v>
      </x:c>
      <x:c r="I13" s="46" t="str">
        <x:v>Nenhum gerente/head diretamente responsável pela vaga foi validado nesta checagem.</x:v>
      </x:c>
      <x:c r="J13" s="46" t="str">
        <x:v>—</x:v>
      </x:c>
      <x:c r="K13" s="46" t="str">
        <x:v>A VR é empresa grande e a vaga é de FP&amp;A/MIS. O registro permanece qualificado pelo sinal, mas não deve receber contato até ser identificado e validado um gerente, head, coordenador líder ou diretor da área; C-level foi removido como atalho.</x:v>
      </x:c>
      <x:c r="L13" s="46" t="str">
        <x:v>A VR manteve agenda pública de evolução de produtos digitais e reconhecimento de mercado em 2026; a vaga de FP&amp;A/MIS é o sinal mais direto desta seleção.</x:v>
      </x:c>
      <x:c r="M13" s="46" t="str">
        <x:v>VR no LinkedIn — atualizações 2026 | https://lc.linkedin.com/company/issoevr</x:v>
      </x:c>
      <x:c r="N13" s="51" t="n">
        <x:v>3</x:v>
      </x:c>
      <x:c r="O13" s="51" t="n">
        <x:v>3</x:v>
      </x:c>
      <x:c r="P13" s="51" t="n">
        <x:v>0</x:v>
      </x:c>
      <x:c r="Q13" s="51" t="n">
        <x:f>SUM(N13:P13)</x:f>
        <x:v>6</x:v>
      </x:c>
      <x:c r="R13" s="51" t="n">
        <x:v>0</x:v>
      </x:c>
      <x:c r="S13" s="46" t="str">
        <x:v>Benefícios/mobilidade com perfil de serviços digitais; sem bônus de economia real.</x:v>
      </x:c>
      <x:c r="T13" s="51" t="n">
        <x:f>Q13+R13</x:f>
        <x:v>6</x:v>
      </x:c>
      <x:c r="U13" s="51" t="str">
        <x:v>Qualificada</x:v>
      </x:c>
      <x:c r="V13" s="46" t="str">
        <x:v>Pendente: validar líder de FP&amp;A/MIS antes de contato.</x:v>
      </x:c>
      <x:c r="W13" s="46" t="str">
        <x:v>Giulio (padrão)</x:v>
      </x:c>
      <x:c r="X13" s="46" t="str">
        <x:v>Não gerar ou enviar mensagem até identificar e validar o líder de FP&amp;A/MIS da VR.</x:v>
      </x:c>
    </x:row>
  </x:sheetData>
  <x:mergeCells>
    <x:mergeCell ref="A1:X1"/>
    <x:mergeCell ref="A2:X2"/>
  </x:mergeCells>
  <x:conditionalFormatting sqref="Q4:Q13">
    <x:cfRule type="cellIs" dxfId="2" priority="1" operator="greaterThanOrEqual">
      <x:formula>7</x:formula>
    </x:cfRule>
    <x:cfRule type="cellIs" dxfId="3" priority="2" operator="between">
      <x:formula>5</x:formula>
      <x:formula>6</x:formula>
    </x:cfRule>
  </x:conditionalFormatting>
  <x:conditionalFormatting sqref="T4:T13">
    <x:cfRule type="cellIs" dxfId="4" priority="3" operator="greaterThanOrEqual">
      <x:formula>9</x:formula>
    </x:cfRule>
    <x:cfRule type="cellIs" dxfId="5" priority="4" operator="between">
      <x:formula>7</x:formula>
      <x:formula>8</x:formula>
    </x:cfRule>
  </x:conditionalFormatting>
  <x:pageMargins left="0.7" right="0.7" top="0.75" bottom="0.75" header="0.3" footer="0.3"/>
  <x:tableParts count="1">
    <x:tablePart xmlns:r="http://schemas.openxmlformats.org/officeDocument/2006/relationships" r:id="R5cabd1d8531e40c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22" hidden="0" customWidth="1"/>
    <x:col min="4" max="4" width="31" hidden="0" customWidth="1"/>
    <x:col min="5" max="5" width="29" hidden="0" customWidth="1"/>
    <x:col min="6" max="6" width="18" hidden="0" customWidth="1"/>
    <x:col min="7" max="7" width="42" hidden="0" customWidth="1"/>
    <x:col min="8" max="8" width="23" hidden="0" customWidth="1"/>
    <x:col min="9" max="9" width="31" hidden="0" customWidth="1"/>
    <x:col min="10" max="10" width="40" hidden="0" customWidth="1"/>
    <x:col min="11" max="11" width="42" hidden="0" customWidth="1"/>
    <x:col min="12" max="12" width="47" hidden="0" customWidth="1"/>
    <x:col min="13" max="13" width="48" hidden="0" customWidth="1"/>
    <x:col min="14" max="14" width="12" hidden="0" customWidth="1"/>
    <x:col min="15" max="15" width="16" hidden="0" customWidth="1"/>
    <x:col min="16" max="16" width="12" hidden="0" customWidth="1"/>
    <x:col min="17" max="17" width="14" hidden="0" customWidth="1"/>
    <x:col min="18" max="18" width="16" hidden="0" customWidth="1"/>
    <x:col min="19" max="19" width="38" hidden="0" customWidth="1"/>
    <x:col min="20" max="20" width="18" hidden="0" customWidth="1"/>
    <x:col min="21" max="21" width="14" hidden="0" customWidth="1"/>
    <x:col min="22" max="22" width="31" hidden="0" customWidth="1"/>
    <x:col min="23" max="23" width="20" hidden="0" customWidth="1"/>
    <x:col min="24" max="24" width="58" hidden="0" customWidth="1"/>
  </x:cols>
  <x:sheetData>
    <x:row r="1" ht="28" customHeight="1">
      <x:c r="A1" s="34" t="str">
        <x:v>Puxada 21/07/2026 — Middle market: prospecção proativa</x:v>
      </x:c>
    </x:row>
    <x:row r="2" ht="33" customHeight="1">
      <x:c r="A2" s="38" t="str">
        <x:v>10 empresas com evento financeiro/operacional recente. Critério de entrada: total base ≥5/8. O contato prioritário é dono/CEO, CFO ou head da área financeira relevante; o bônus de entrada (0–2) não altera a qualificação-base.</x:v>
      </x:c>
    </x:row>
    <x:row r="3" ht="42" customHeight="1">
      <x:c r="A3" s="43" t="str">
        <x:v>ID</x:v>
      </x:c>
      <x:c r="B3" s="43" t="str">
        <x:v>Empresa</x:v>
      </x:c>
      <x:c r="C3" s="43" t="str">
        <x:v>Setor / localização</x:v>
      </x:c>
      <x:c r="D3" s="43" t="str">
        <x:v>Porte / proxy</x:v>
      </x:c>
      <x:c r="E3" s="43" t="str">
        <x:v>Sinal qualificado</x:v>
      </x:c>
      <x:c r="F3" s="43" t="str">
        <x:v>Data do sinal</x:v>
      </x:c>
      <x:c r="G3" s="43" t="str">
        <x:v>Link do sinal</x:v>
      </x:c>
      <x:c r="H3" s="43" t="str">
        <x:v>Contato prioritário</x:v>
      </x:c>
      <x:c r="I3" s="43" t="str">
        <x:v>Cargo / trajetória</x:v>
      </x:c>
      <x:c r="J3" s="43" t="str">
        <x:v>LinkedIn</x:v>
      </x:c>
      <x:c r="K3" s="43" t="str">
        <x:v>Contexto do lead</x:v>
      </x:c>
      <x:c r="L3" s="43" t="str">
        <x:v>Notícia / momento recente (≤6 meses)</x:v>
      </x:c>
      <x:c r="M3" s="43" t="str">
        <x:v>Fonte da notícia</x:v>
      </x:c>
      <x:c r="N3" s="43" t="str">
        <x:v>Porte (0–3)</x:v>
      </x:c>
      <x:c r="O3" s="43" t="str">
        <x:v>Urgência / momento (0–3)</x:v>
      </x:c>
      <x:c r="P3" s="43" t="str">
        <x:v>Decisor (0–2)</x:v>
      </x:c>
      <x:c r="Q3" s="43" t="str">
        <x:v>Total base (0–8)</x:v>
      </x:c>
      <x:c r="R3" s="43" t="str">
        <x:v>Bônus de entrada (0–2)</x:v>
      </x:c>
      <x:c r="S3" s="43" t="str">
        <x:v>Critério do bônus</x:v>
      </x:c>
      <x:c r="T3" s="43" t="str">
        <x:v>Score comercial (0–10)</x:v>
      </x:c>
      <x:c r="U3" s="43" t="str">
        <x:v>Prioridade</x:v>
      </x:c>
      <x:c r="V3" s="43" t="str">
        <x:v>Fit do contato</x:v>
      </x:c>
      <x:c r="W3" s="43" t="str">
        <x:v>Remetente recomendado</x:v>
      </x:c>
      <x:c r="X3" s="43" t="str">
        <x:v>Rascunho de mensagem</x:v>
      </x:c>
    </x:row>
    <x:row r="4" ht="112" customHeight="1">
      <x:c r="A4" s="47" t="str">
        <x:v>MM-2026-001</x:v>
      </x:c>
      <x:c r="B4" s="46" t="str">
        <x:v>AGESBEC</x:v>
      </x:c>
      <x:c r="C4" s="46" t="str">
        <x:v>Logística e armazenagem | São Bernardo do Campo, SP</x:v>
      </x:c>
      <x:c r="D4" s="46" t="str">
        <x:v>Porte médio; plano de investimento de R$ 100 mi (proxy operacional)</x:v>
      </x:c>
      <x:c r="E4" s="46" t="str">
        <x:v>Expansão operacional e investimentos de R$ 100 mi</x:v>
      </x:c>
      <x:c r="F4" s="46" t="str">
        <x:v>Abr/2026</x:v>
      </x:c>
      <x:c r="G4" s="46" t="str">
        <x:v>https://www.tecnologistica.com.br/noticias/evento/21236/agesbec-anuncia-investimento-de-r-100-milhoes-e-expansao-operacional-durante-a-intermodal-2026/</x:v>
      </x:c>
      <x:c r="H4" s="48" t="str">
        <x:v>Ricardo Drago</x:v>
      </x:c>
      <x:c r="I4" s="46" t="str">
        <x:v>Diretor Presidente; trajetória executiva em logística e terminais.</x:v>
      </x:c>
      <x:c r="J4" s="46" t="str">
        <x:v>https://www.linkedin.com/in/ricardo-drago-72b02821/</x:v>
      </x:c>
      <x:c r="K4" s="46" t="str">
        <x:v>Diretor-presidente de empresa logística com plano material de capex e expansão de capacidade, cenário típico para revisar cadência, dados e controles financeiros.</x:v>
      </x:c>
      <x:c r="L4" s="46" t="str">
        <x:v>A AGESBEC anunciou R$ 100 mi de investimentos e expansão operacional, incluindo nova operação no terminal de cargas de Guarulhos.</x:v>
      </x:c>
      <x:c r="M4" s="46" t="str">
        <x:v>Tecnologística — Intermodal 2026 | https://www.tecnologistica.com.br/noticias/evento/21236/agesbec-anuncia-investimento-de-r-100-milhoes-e-expansao-operacional-durante-a-intermodal-2026/</x:v>
      </x:c>
      <x:c r="N4" s="51" t="n">
        <x:v>2</x:v>
      </x:c>
      <x:c r="O4" s="51" t="n">
        <x:v>3</x:v>
      </x:c>
      <x:c r="P4" s="51" t="n">
        <x:v>2</x:v>
      </x:c>
      <x:c r="Q4" s="51" t="n">
        <x:f>SUM(N4:P4)</x:f>
        <x:v>7</x:v>
      </x:c>
      <x:c r="R4" s="51" t="n">
        <x:v>1</x:v>
      </x:c>
      <x:c r="S4" s="46" t="str">
        <x:v>Logística e armazenagem (economia real) no eixo SP.</x:v>
      </x:c>
      <x:c r="T4" s="51" t="n">
        <x:f>Q4+R4</x:f>
        <x:v>8</x:v>
      </x:c>
      <x:c r="U4" s="51" t="str">
        <x:v>Alta</x:v>
      </x:c>
      <x:c r="V4" s="46" t="str">
        <x:v>Capex, logística e eficiência da operação financeira.</x:v>
      </x:c>
      <x:c r="W4" s="46" t="str">
        <x:v>Giulio (padrão)</x:v>
      </x:c>
      <x:c r="X4" s="46" t="str">
        <x:v>Ricardo, tudo bem? Obrigado por aceitar o convite.
Vi o plano de R$ 100 milhões da AGESBEC para expansão operacional.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5" ht="112" customHeight="1">
      <x:c r="A5" s="47" t="str">
        <x:v>MM-2026-002</x:v>
      </x:c>
      <x:c r="B5" s="46" t="str">
        <x:v>Vittia</x:v>
      </x:c>
      <x:c r="C5" s="46" t="str">
        <x:v>Insumos agrícolas | São Joaquim da Barra, SP</x:v>
      </x:c>
      <x:c r="D5" s="46" t="str">
        <x:v>Receita 1T26 de R$ 122 mi; proxy anual próximo ao teto do ICP</x:v>
      </x:c>
      <x:c r="E5" s="46" t="str">
        <x:v>Resultados 1T26 e agenda de eficiência financeira</x:v>
      </x:c>
      <x:c r="F5" s="46" t="str">
        <x:v>Mai/2026</x:v>
      </x:c>
      <x:c r="G5" s="46" t="str">
        <x:v>https://conteudos.xpi.com.br/acoes/relatorios/vittia-vitt3-resultados-fracos-como-esperado/</x:v>
      </x:c>
      <x:c r="H5" s="48" t="str">
        <x:v>Alexandre Del Nero Frizzo</x:v>
      </x:c>
      <x:c r="I5" s="46" t="str">
        <x:v>CFO e Diretor de RI; liderança financeira e relação com investidores.</x:v>
      </x:c>
      <x:c r="J5" s="46" t="str">
        <x:v>https://www.linkedin.com/in/alexandre-del-nero-frizzo-a7256a49/</x:v>
      </x:c>
      <x:c r="K5" s="46" t="str">
        <x:v>CFO/RI de companhia de insumos agrícolas listada; o momento pede leitura de performance, caixa e eficiência em ambiente de resultados pressionados.</x:v>
      </x:c>
      <x:c r="L5" s="46" t="str">
        <x:v>No 1T26, a Vittia reportou receita de R$ 122 mi e redução de dívida líquida, com atenção de mercado à recuperação operacional.</x:v>
      </x:c>
      <x:c r="M5" s="46" t="str">
        <x:v>XP — análise de resultados Vittia 1T26 | https://conteudos.xpi.com.br/acoes/relatorios/vittia-vitt3-resultados-fracos-como-esperado/</x:v>
      </x:c>
      <x:c r="N5" s="51" t="n">
        <x:v>3</x:v>
      </x:c>
      <x:c r="O5" s="51" t="n">
        <x:v>2</x:v>
      </x:c>
      <x:c r="P5" s="51" t="n">
        <x:v>2</x:v>
      </x:c>
      <x:c r="Q5" s="51" t="n">
        <x:f>SUM(N5:P5)</x:f>
        <x:v>7</x:v>
      </x:c>
      <x:c r="R5" s="51" t="n">
        <x:v>1</x:v>
      </x:c>
      <x:c r="S5" s="46" t="str">
        <x:v>Insumos agrícolas (economia real) no eixo SP.</x:v>
      </x:c>
      <x:c r="T5" s="51" t="n">
        <x:f>Q5+R5</x:f>
        <x:v>8</x:v>
      </x:c>
      <x:c r="U5" s="51" t="str">
        <x:v>Alta</x:v>
      </x:c>
      <x:c r="V5" s="46" t="str">
        <x:v>CFO/RI, performance financeira e eficiência em empresa listada.</x:v>
      </x:c>
      <x:c r="W5" s="46" t="str">
        <x:v>Giulio (padrão)</x:v>
      </x:c>
      <x:c r="X5" s="46" t="str">
        <x:v>Alexandre, tudo bem? Obrigado por aceitar o convite.
Vi os resultados do 1T26 e a agenda de eficiência financeira da Vittia.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6" ht="112" customHeight="1">
      <x:c r="A6" s="47" t="str">
        <x:v>MM-2026-003</x:v>
      </x:c>
      <x:c r="B6" s="46" t="str">
        <x:v>Bemobi</x:v>
      </x:c>
      <x:c r="C6" s="46" t="str">
        <x:v>Software e pagamentos | Rio de Janeiro, RJ</x:v>
      </x:c>
      <x:c r="D6" s="46" t="str">
        <x:v>501–1.000 funcionários; receita 1T26 de R$ 222 mi; exceção por escala e evento</x:v>
      </x:c>
      <x:c r="E6" s="46" t="str">
        <x:v>Aquisição da Paytime e lançamento de unidade PaaS</x:v>
      </x:c>
      <x:c r="F6" s="46" t="str">
        <x:v>Fev/2026</x:v>
      </x:c>
      <x:c r="G6" s="46" t="str">
        <x:v>https://www.bemobi.com/en/blog/bemobi-announces-the-acquisition-of-paytime-and-launches-a-new-payment-as-a-service-paas-unit-2</x:v>
      </x:c>
      <x:c r="H6" s="48" t="str">
        <x:v>Pedro Ripper</x:v>
      </x:c>
      <x:c r="I6" s="46" t="str">
        <x:v>CEO e cofundador; empreendedor de software, pagamentos e crescimento internacional.</x:v>
      </x:c>
      <x:c r="J6" s="46" t="str">
        <x:v>https://www.linkedin.com/in/pedroripper/</x:v>
      </x:c>
      <x:c r="K6" s="46" t="str">
        <x:v>CEO fundador de empresa de software/pagamentos; aquisição e nova unidade elevam a complexidade de integração, métricas e gestão financeira.</x:v>
      </x:c>
      <x:c r="L6" s="46" t="str">
        <x:v>A Bemobi adquiriu a Paytime e lançou uma unidade de Payments as a Service; a companhia divulgou receita de R$ 222 mi no 1T26 (+35% a/a).</x:v>
      </x:c>
      <x:c r="M6" s="46" t="str">
        <x:v>Bemobi — aquisição Paytime e PaaS, fev/2026 | https://www.bemobi.com/en/blog/bemobi-announces-the-acquisition-of-paytime-and-launches-a-new-payment-as-a-service-paas-unit-2</x:v>
      </x:c>
      <x:c r="N6" s="51" t="n">
        <x:v>2</x:v>
      </x:c>
      <x:c r="O6" s="51" t="n">
        <x:v>3</x:v>
      </x:c>
      <x:c r="P6" s="51" t="n">
        <x:v>2</x:v>
      </x:c>
      <x:c r="Q6" s="51" t="n">
        <x:f>SUM(N6:P6)</x:f>
        <x:v>7</x:v>
      </x:c>
      <x:c r="R6" s="51" t="n">
        <x:v>0</x:v>
      </x:c>
      <x:c r="S6" s="46" t="str">
        <x:v>Software e pagamentos; sem bônus de economia real.</x:v>
      </x:c>
      <x:c r="T6" s="51" t="n">
        <x:f>Q6+R6</x:f>
        <x:v>7</x:v>
      </x:c>
      <x:c r="U6" s="51" t="str">
        <x:v>Alta</x:v>
      </x:c>
      <x:c r="V6" s="46" t="str">
        <x:v>Tecnologia, pagamentos, integração e métricas financeiras.</x:v>
      </x:c>
      <x:c r="W6" s="46" t="str">
        <x:v>Giulio (padrão)</x:v>
      </x:c>
      <x:c r="X6" s="46" t="str">
        <x:v>Pedro, tudo bem? Obrigado por aceitar o convite.
Vi a aquisição da Paytime e o lançamento da unidade de Payments as a Service da Bemobi.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7" ht="112" customHeight="1">
      <x:c r="A7" s="47" t="str">
        <x:v>MM-2026-004</x:v>
      </x:c>
      <x:c r="B7" s="46" t="str">
        <x:v>Alper Seguros</x:v>
      </x:c>
      <x:c r="C7" s="46" t="str">
        <x:v>Corretagem de seguros | São Paulo, SP</x:v>
      </x:c>
      <x:c r="D7" s="46" t="str">
        <x:v>Mais de 1.000 funcionários; exceção por estratégia de consolidação</x:v>
      </x:c>
      <x:c r="E7" s="46" t="str">
        <x:v>Aquisição da Montpolo</x:v>
      </x:c>
      <x:c r="F7" s="46" t="str">
        <x:v>Jun/2026</x:v>
      </x:c>
      <x:c r="G7" s="46" t="str">
        <x:v>https://veja.abril.com.br/coluna/radar-economico/corretora-alper-compra-a-montpolo/</x:v>
      </x:c>
      <x:c r="H7" s="48" t="str">
        <x:v>Marcos Couto</x:v>
      </x:c>
      <x:c r="I7" s="46" t="str">
        <x:v>President &amp; CEO; experiência em seguros, serviços financeiros e consolidação.</x:v>
      </x:c>
      <x:c r="J7" s="46" t="str">
        <x:v>https://www.linkedin.com/in/marcos-couto-9ab73722/</x:v>
      </x:c>
      <x:c r="K7" s="46" t="str">
        <x:v>CEO de corretora em consolidação; a tese de aquisições costuma exigir integração financeira, acompanhamento de sinergias e disciplina de performance.</x:v>
      </x:c>
      <x:c r="L7" s="46" t="str">
        <x:v>A Alper anunciou a compra da Montpolo, agregando R$ 65 mi em prêmios e mais de 10 mil vidas à operação.</x:v>
      </x:c>
      <x:c r="M7" s="46" t="str">
        <x:v>Veja — aquisição Montpolo, jun/2026 | https://veja.abril.com.br/coluna/radar-economico/corretora-alper-compra-a-montpolo/</x:v>
      </x:c>
      <x:c r="N7" s="51" t="n">
        <x:v>1</x:v>
      </x:c>
      <x:c r="O7" s="51" t="n">
        <x:v>3</x:v>
      </x:c>
      <x:c r="P7" s="51" t="n">
        <x:v>2</x:v>
      </x:c>
      <x:c r="Q7" s="51" t="n">
        <x:f>SUM(N7:P7)</x:f>
        <x:v>6</x:v>
      </x:c>
      <x:c r="R7" s="51" t="n">
        <x:v>0</x:v>
      </x:c>
      <x:c r="S7" s="46" t="str">
        <x:v>Serviços financeiros/corretagem; sem bônus de economia real.</x:v>
      </x:c>
      <x:c r="T7" s="51" t="n">
        <x:f>Q7+R7</x:f>
        <x:v>6</x:v>
      </x:c>
      <x:c r="U7" s="51" t="str">
        <x:v>Qualificada</x:v>
      </x:c>
      <x:c r="V7" s="46" t="str">
        <x:v>Serviços financeiros e integração pós-aquisição.</x:v>
      </x:c>
      <x:c r="W7" s="46" t="str">
        <x:v>Giulio (padrão)</x:v>
      </x:c>
      <x:c r="X7" s="46" t="str">
        <x:v>Marcos, tudo bem? Obrigado por aceitar o convite.
Vi a aquisição da Montpolo pela Alper, reforçando a estratégia de consolidação.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8" ht="112" customHeight="1">
      <x:c r="A8" s="47" t="str">
        <x:v>MM-2026-005</x:v>
      </x:c>
      <x:c r="B8" s="46" t="str">
        <x:v>Westwing Brasil</x:v>
      </x:c>
      <x:c r="C8" s="46" t="str">
        <x:v>E-commerce e casa &amp; decoração | São Paulo, SP</x:v>
      </x:c>
      <x:c r="D8" s="46" t="str">
        <x:v>501–1.000 funcionários; receita 1T26 de R$ 35,8 mi</x:v>
      </x:c>
      <x:c r="E8" s="46" t="str">
        <x:v>Evolução de rentabilidade e expansão de canais</x:v>
      </x:c>
      <x:c r="F8" s="46" t="str">
        <x:v>Mai/2026</x:v>
      </x:c>
      <x:c r="G8" s="46" t="str">
        <x:v>https://pt.linkedin.com/posts/andre-machado-55917370_release-westwing-1q26-activity-7461167058463109120-Pwrq</x:v>
      </x:c>
      <x:c r="H8" s="48" t="str">
        <x:v>Andre Machado</x:v>
      </x:c>
      <x:c r="I8" s="46" t="str">
        <x:v>CEO; trajetória em varejo digital, consumo e operação.</x:v>
      </x:c>
      <x:c r="J8" s="46" t="str">
        <x:v>https://www.linkedin.com/in/andre-machado-55917370/</x:v>
      </x:c>
      <x:c r="K8" s="46" t="str">
        <x:v>CEO de varejo digital com melhoria de rentabilidade e expansão de canais; possível dor de governança de dados e alocação de recursos.</x:v>
      </x:c>
      <x:c r="L8" s="46" t="str">
        <x:v>No 1T26, a Westwing reportou receita de R$ 35,8 mi (+7,3%) e EBITDA ajustado 60,6% maior, além de expansão de canais para especificadores.</x:v>
      </x:c>
      <x:c r="M8" s="46" t="str">
        <x:v>Andre Machado no LinkedIn — release 1Q26 | https://pt.linkedin.com/posts/andre-machado-55917370_release-westwing-1q26-activity-7461167058463109120-Pwrq</x:v>
      </x:c>
      <x:c r="N8" s="51" t="n">
        <x:v>2</x:v>
      </x:c>
      <x:c r="O8" s="51" t="n">
        <x:v>3</x:v>
      </x:c>
      <x:c r="P8" s="51" t="n">
        <x:v>2</x:v>
      </x:c>
      <x:c r="Q8" s="51" t="n">
        <x:f>SUM(N8:P8)</x:f>
        <x:v>7</x:v>
      </x:c>
      <x:c r="R8" s="51" t="n">
        <x:v>1</x:v>
      </x:c>
      <x:c r="S8" s="46" t="str">
        <x:v>Varejo de bens físicos (economia real) no eixo SP.</x:v>
      </x:c>
      <x:c r="T8" s="51" t="n">
        <x:f>Q8+R8</x:f>
        <x:v>8</x:v>
      </x:c>
      <x:c r="U8" s="51" t="str">
        <x:v>Alta</x:v>
      </x:c>
      <x:c r="V8" s="46" t="str">
        <x:v>Varejo digital, rentabilidade e automação de decisões financeiras.</x:v>
      </x:c>
      <x:c r="W8" s="46" t="str">
        <x:v>Giulio (padrão)</x:v>
      </x:c>
      <x:c r="X8" s="46" t="str">
        <x:v>Andre, tudo bem? Obrigado por aceitar o convite.
Vi a evolução de rentabilidade da Westwing no 1T26 e a expansão do marketplace.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9" ht="112" customHeight="1">
      <x:c r="A9" s="47" t="str">
        <x:v>MM-2026-006</x:v>
      </x:c>
      <x:c r="B9" s="46" t="str">
        <x:v>Dotz</x:v>
      </x:c>
      <x:c r="C9" s="46" t="str">
        <x:v>Techfin e loyalty | São Paulo, SP</x:v>
      </x:c>
      <x:c r="D9" s="46" t="str">
        <x:v>Empresa listada; porte estimado a validar por receita anual</x:v>
      </x:c>
      <x:c r="E9" s="46" t="str">
        <x:v>EBITDA recorde e expansão da vertical Techfin</x:v>
      </x:c>
      <x:c r="F9" s="46" t="str">
        <x:v>Mai/2026</x:v>
      </x:c>
      <x:c r="G9" s="46" t="str">
        <x:v>https://www.revistafatorbrasil.com.br/2026/05/16/dotz-registra-lucro-liquido-de-r-69-milhoes-no-1t26/</x:v>
      </x:c>
      <x:c r="H9" s="48" t="str">
        <x:v>Otávio Araujo</x:v>
      </x:c>
      <x:c r="I9" s="46" t="str">
        <x:v>CEO; experiência em fidelidade, tecnologia e negócios financeiros.</x:v>
      </x:c>
      <x:c r="J9" s="46" t="str">
        <x:v>https://www.linkedin.com/in/ot%C3%A1vio-araujo-83339893/</x:v>
      </x:c>
      <x:c r="K9" s="46" t="str">
        <x:v>CEO de plataforma de loyalty e crédito; a vertical Techfin cria demanda por melhor visibilidade de performance, risco e unit economics.</x:v>
      </x:c>
      <x:c r="L9" s="46" t="str">
        <x:v>A Dotz reportou EBITDA recorde de R$ 31,8 mi, lucro líquido de R$ 6,9 mi e R$ 155 mi de originação de crédito no 1T26.</x:v>
      </x:c>
      <x:c r="M9" s="46" t="str">
        <x:v>Revista Fator Brasil — resultados Dotz 1T26 | https://www.revistafatorbrasil.com.br/2026/05/16/dotz-registra-lucro-liquido-de-r-69-milhoes-no-1t26/</x:v>
      </x:c>
      <x:c r="N9" s="51" t="n">
        <x:v>2</x:v>
      </x:c>
      <x:c r="O9" s="51" t="n">
        <x:v>3</x:v>
      </x:c>
      <x:c r="P9" s="51" t="n">
        <x:v>2</x:v>
      </x:c>
      <x:c r="Q9" s="51" t="n">
        <x:f>SUM(N9:P9)</x:f>
        <x:v>7</x:v>
      </x:c>
      <x:c r="R9" s="51" t="n">
        <x:v>0</x:v>
      </x:c>
      <x:c r="S9" s="46" t="str">
        <x:v>Techfin e loyalty; sem bônus de economia real.</x:v>
      </x:c>
      <x:c r="T9" s="51" t="n">
        <x:f>Q9+R9</x:f>
        <x:v>7</x:v>
      </x:c>
      <x:c r="U9" s="51" t="str">
        <x:v>Alta</x:v>
      </x:c>
      <x:c r="V9" s="46" t="str">
        <x:v>Dados, crédito, pagamentos e performance financeira.</x:v>
      </x:c>
      <x:c r="W9" s="46" t="str">
        <x:v>Giulio (padrão)</x:v>
      </x:c>
      <x:c r="X9" s="46" t="str">
        <x:v>Otávio, tudo bem? Obrigado por aceitar o convite.
Vi o EBITDA recorde da Dotz no 1T26 e a expansão da vertical Techfin.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0" ht="112" customHeight="1">
      <x:c r="A10" s="47" t="str">
        <x:v>MM-2026-007</x:v>
      </x:c>
      <x:c r="B10" s="46" t="str">
        <x:v>Tegma</x:v>
      </x:c>
      <x:c r="C10" s="46" t="str">
        <x:v>Logística e transporte de veículos | São Bernardo do Campo, SP</x:v>
      </x:c>
      <x:c r="D10" s="46" t="str">
        <x:v>Receita 1T26 de R$ 521 mi; acima do proxy — exceção pelo momento financeiro</x:v>
      </x:c>
      <x:c r="E10" s="46" t="str">
        <x:v>Crescimento de receita e novos financiamentos</x:v>
      </x:c>
      <x:c r="F10" s="46" t="str">
        <x:v>Mai/2026</x:v>
      </x:c>
      <x:c r="G10" s="46" t="str">
        <x:v>https://ri.tegma.com.br/en/noticias/tegmas-1q26-results/</x:v>
      </x:c>
      <x:c r="H10" s="48" t="str">
        <x:v>Nivaldo Tuba</x:v>
      </x:c>
      <x:c r="I10" s="46" t="str">
        <x:v>CEO; executivo de logística, transporte e operações em escala.</x:v>
      </x:c>
      <x:c r="J10" s="46" t="str">
        <x:v>https://www.linkedin.com/in/nivaldotuba/</x:v>
      </x:c>
      <x:c r="K10" s="46" t="str">
        <x:v>CEO de operação logística complexa; crescimento e novos financiamentos tornam visibilidade de caixa, capex e performance particularmente relevantes.</x:v>
      </x:c>
      <x:c r="L10" s="46" t="str">
        <x:v>A Tegma divulgou receita de R$ 521 mi no 1T26 (+18% a/a) e novas captações/financiamentos de cerca de R$ 40 mi.</x:v>
      </x:c>
      <x:c r="M10" s="46" t="str">
        <x:v>Tegma RI — resultados 1T26 | https://ri.tegma.com.br/en/noticias/tegmas-1q26-results/</x:v>
      </x:c>
      <x:c r="N10" s="51" t="n">
        <x:v>1</x:v>
      </x:c>
      <x:c r="O10" s="51" t="n">
        <x:v>2</x:v>
      </x:c>
      <x:c r="P10" s="51" t="n">
        <x:v>2</x:v>
      </x:c>
      <x:c r="Q10" s="51" t="n">
        <x:f>SUM(N10:P10)</x:f>
        <x:v>5</x:v>
      </x:c>
      <x:c r="R10" s="51" t="n">
        <x:v>1</x:v>
      </x:c>
      <x:c r="S10" s="46" t="str">
        <x:v>Logística e transporte (economia real) no eixo SP.</x:v>
      </x:c>
      <x:c r="T10" s="51" t="n">
        <x:f>Q10+R10</x:f>
        <x:v>6</x:v>
      </x:c>
      <x:c r="U10" s="51" t="str">
        <x:v>Qualificada</x:v>
      </x:c>
      <x:c r="V10" s="46" t="str">
        <x:v>Logística, capex, caixa e eficiência operacional.</x:v>
      </x:c>
      <x:c r="W10" s="46" t="str">
        <x:v>Giulio (padrão)</x:v>
      </x:c>
      <x:c r="X10" s="46" t="str">
        <x:v>Nivaldo, tudo bem? Obrigado por aceitar o convite.
Vi o crescimento de receita no 1T26 e os novos financiamentos da Tegma.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1" ht="112" customHeight="1">
      <x:c r="A11" s="47" t="str">
        <x:v>MM-2026-008</x:v>
      </x:c>
      <x:c r="B11" s="46" t="str">
        <x:v>Unicasa</x:v>
      </x:c>
      <x:c r="C11" s="46" t="str">
        <x:v>Móveis planejados | Bento Gonçalves, RS</x:v>
      </x:c>
      <x:c r="D11" s="46" t="str">
        <x:v>Receita bruta 1T26 de R$ 49,1 mi; proxy anual próximo a R$ 200 mi</x:v>
      </x:c>
      <x:c r="E11" s="46" t="str">
        <x:v>Resultados 1T26 e recuperação de rentabilidade</x:v>
      </x:c>
      <x:c r="F11" s="46" t="str">
        <x:v>Mai/2026</x:v>
      </x:c>
      <x:c r="G11" s="46" t="str">
        <x:v>https://acionista.com.br/resultados-do-1t26-revelam-desafios-e-mudancas-significativas/</x:v>
      </x:c>
      <x:c r="H11" s="48" t="str">
        <x:v>Gustavo Dall'Onder</x:v>
      </x:c>
      <x:c r="I11" s="46" t="str">
        <x:v>CEO, CFO e Diretor de RI; liderança financeira e executiva integrada.</x:v>
      </x:c>
      <x:c r="J11" s="46" t="str">
        <x:v>https://www.linkedin.com/in/gustavo-dall-onder-8948b82b/</x:v>
      </x:c>
      <x:c r="K11" s="46" t="str">
        <x:v>CEO/CFO/RI de empresa industrial de porte aderente; a recuperação de resultado cria abertura para discutir automação, previsibilidade e alocação de esforço financeiro.</x:v>
      </x:c>
      <x:c r="L11" s="46" t="str">
        <x:v>Os resultados do 1T26 trouxeram receita bruta de R$ 49,1 mi e desafios operacionais, com foco na recuperação de rentabilidade.</x:v>
      </x:c>
      <x:c r="M11" s="46" t="str">
        <x:v>Acionista — resultados Unicasa 1T26 | https://acionista.com.br/resultados-do-1t26-revelam-desafios-e-mudancas-significativas/</x:v>
      </x:c>
      <x:c r="N11" s="51" t="n">
        <x:v>2</x:v>
      </x:c>
      <x:c r="O11" s="51" t="n">
        <x:v>2</x:v>
      </x:c>
      <x:c r="P11" s="51" t="n">
        <x:v>2</x:v>
      </x:c>
      <x:c r="Q11" s="51" t="n">
        <x:f>SUM(N11:P11)</x:f>
        <x:v>6</x:v>
      </x:c>
      <x:c r="R11" s="51" t="n">
        <x:v>2</x:v>
      </x:c>
      <x:c r="S11" s="46" t="str">
        <x:v>Indústria de móveis (economia real) fora do eixo Rio–SP.</x:v>
      </x:c>
      <x:c r="T11" s="51" t="n">
        <x:f>Q11+R11</x:f>
        <x:v>8</x:v>
      </x:c>
      <x:c r="U11" s="51" t="str">
        <x:v>Qualificada</x:v>
      </x:c>
      <x:c r="V11" s="46" t="str">
        <x:v>CFO, indústria e recuperação de eficiência financeira.</x:v>
      </x:c>
      <x:c r="W11" s="46" t="str">
        <x:v>Giulio (padrão)</x:v>
      </x:c>
      <x:c r="X11" s="46" t="str">
        <x:v>Gustavo, tudo bem? Obrigado por aceitar o convite.
Vi os resultados do 1T26 e o esforço de recuperação de rentabilidade da Unicasa.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2" ht="112" customHeight="1">
      <x:c r="A12" s="47" t="str">
        <x:v>MM-2026-009</x:v>
      </x:c>
      <x:c r="B12" s="46" t="str">
        <x:v>Azevedo &amp; Travassos Energia</x:v>
      </x:c>
      <x:c r="C12" s="46" t="str">
        <x:v>Infraestrutura e energia | São Paulo, SP</x:v>
      </x:c>
      <x:c r="D12" s="46" t="str">
        <x:v>497 funcionários no LinkedIn; faixa média-alta</x:v>
      </x:c>
      <x:c r="E12" s="46" t="str">
        <x:v>Primeiro lucro líquido em dez anos</x:v>
      </x:c>
      <x:c r="F12" s="46" t="str">
        <x:v>Mai/2026</x:v>
      </x:c>
      <x:c r="G12" s="46" t="str">
        <x:v>https://pt.linkedin.com/posts/azevedotravassos_resultados-financeiros-1t26-activity-7462225057764003840-QE-O</x:v>
      </x:c>
      <x:c r="H12" s="48" t="str">
        <x:v>Ivan Carvalho</x:v>
      </x:c>
      <x:c r="I12" s="46" t="str">
        <x:v>CEO; trajetória em infraestrutura, energia e gestão de empresas operacionais.</x:v>
      </x:c>
      <x:c r="J12" s="46" t="str">
        <x:v>https://www.linkedin.com/in/ivan-carvalho-386397/</x:v>
      </x:c>
      <x:c r="K12" s="46" t="str">
        <x:v>CEO de empresa de infraestrutura/energia em virada de resultado; o marco financeiro indica oportunidade para amadurecer rotinas de planejamento e controle.</x:v>
      </x:c>
      <x:c r="L12" s="46" t="str">
        <x:v>A companhia divulgou no 1T26 seu primeiro resultado líquido positivo em dez anos.</x:v>
      </x:c>
      <x:c r="M12" s="46" t="str">
        <x:v>Azevedo &amp; Travassos no LinkedIn — resultados 1T26 | https://pt.linkedin.com/posts/azevedotravassos_resultados-financeiros-1t26-activity-7462225057764003840-QE-O</x:v>
      </x:c>
      <x:c r="N12" s="51" t="n">
        <x:v>2</x:v>
      </x:c>
      <x:c r="O12" s="51" t="n">
        <x:v>3</x:v>
      </x:c>
      <x:c r="P12" s="51" t="n">
        <x:v>2</x:v>
      </x:c>
      <x:c r="Q12" s="51" t="n">
        <x:f>SUM(N12:P12)</x:f>
        <x:v>7</x:v>
      </x:c>
      <x:c r="R12" s="51" t="n">
        <x:v>1</x:v>
      </x:c>
      <x:c r="S12" s="46" t="str">
        <x:v>Infraestrutura e energia (economia real) no eixo SP.</x:v>
      </x:c>
      <x:c r="T12" s="51" t="n">
        <x:f>Q12+R12</x:f>
        <x:v>8</x:v>
      </x:c>
      <x:c r="U12" s="51" t="str">
        <x:v>Alta</x:v>
      </x:c>
      <x:c r="V12" s="46" t="str">
        <x:v>Infraestrutura, turnaround e performance financeira.</x:v>
      </x:c>
      <x:c r="W12" s="46" t="str">
        <x:v>Giulio (padrão)</x:v>
      </x:c>
      <x:c r="X12" s="46" t="str">
        <x:v>Ivan, tudo bem? Obrigado por aceitar o convite.
Vi o primeiro resultado líquido positivo da Azevedo &amp; Travassos em dez anos.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3" ht="112" customHeight="1">
      <x:c r="A13" s="47" t="str">
        <x:v>MM-2026-010</x:v>
      </x:c>
      <x:c r="B13" s="46" t="str">
        <x:v>LPS Brasil / Lopes</x:v>
      </x:c>
      <x:c r="C13" s="46" t="str">
        <x:v>Serviços imobiliários | São Paulo, SP</x:v>
      </x:c>
      <x:c r="D13" s="46" t="str">
        <x:v>336 funcionários; receita 2024 de R$ 192 mi</x:v>
      </x:c>
      <x:c r="E13" s="46" t="str">
        <x:v>26 lançamentos e duas novas lojas corporativas</x:v>
      </x:c>
      <x:c r="F13" s="46" t="str">
        <x:v>Mai/2026</x:v>
      </x:c>
      <x:c r="G13" s="46" t="str">
        <x:v>https://www.alphaspread.com/security/bovespa/lpsb3/investor-relations/earnings-call/q1-2026</x:v>
      </x:c>
      <x:c r="H13" s="48" t="str">
        <x:v>Cyro Naufel</x:v>
      </x:c>
      <x:c r="I13" s="46" t="str">
        <x:v>Diretor de RI / Partner Director; experiência em relações com investidores e gestão financeira.</x:v>
      </x:c>
      <x:c r="J13" s="46" t="str">
        <x:v>https://www.linkedin.com/in/cyronaufel/</x:v>
      </x:c>
      <x:c r="K13" s="46" t="str">
        <x:v>Diretor de RI de empresa de serviços imobiliários dentro do proxy de porte; combinação de lançamentos e expansão comercial pede melhor leitura de funil, VGV e performance.</x:v>
      </x:c>
      <x:c r="L13" s="46" t="str">
        <x:v>No 1T26, a Lopes teve 26 lançamentos, VGV de R$ 4,6 bi, volume intermediado de R$ 2,5 bi e abertura de duas lojas corporativas no Rio.</x:v>
      </x:c>
      <x:c r="M13" s="46" t="str">
        <x:v>Alpha Spread — earnings call LPS 1T26 | https://www.alphaspread.com/security/bovespa/lpsb3/investor-relations/earnings-call/q1-2026</x:v>
      </x:c>
      <x:c r="N13" s="51" t="n">
        <x:v>3</x:v>
      </x:c>
      <x:c r="O13" s="51" t="n">
        <x:v>3</x:v>
      </x:c>
      <x:c r="P13" s="51" t="n">
        <x:v>1</x:v>
      </x:c>
      <x:c r="Q13" s="51" t="n">
        <x:f>SUM(N13:P13)</x:f>
        <x:v>7</x:v>
      </x:c>
      <x:c r="R13" s="51" t="n">
        <x:v>1</x:v>
      </x:c>
      <x:c r="S13" s="46" t="str">
        <x:v>Serviços imobiliários ligados à economia real no eixo SP.</x:v>
      </x:c>
      <x:c r="T13" s="51" t="n">
        <x:f>Q13+R13</x:f>
        <x:v>8</x:v>
      </x:c>
      <x:c r="U13" s="51" t="str">
        <x:v>Alta</x:v>
      </x:c>
      <x:c r="V13" s="46" t="str">
        <x:v>RI, serviços imobiliários, funil comercial e gestão financeira.</x:v>
      </x:c>
      <x:c r="W13" s="46" t="str">
        <x:v>Giulio (padrão)</x:v>
      </x:c>
      <x:c r="X13" s="46" t="str">
        <x:v>Cyro, tudo bem? Obrigado por aceitar o convite.
Vi os 26 lançamentos imobiliários e a abertura de duas lojas corporativas da Lopes no 1T26.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sheetData>
  <x:mergeCells>
    <x:mergeCell ref="A1:X1"/>
    <x:mergeCell ref="A2:X2"/>
  </x:mergeCells>
  <x:conditionalFormatting sqref="Q4:Q13">
    <x:cfRule type="cellIs" dxfId="6" priority="1" operator="greaterThanOrEqual">
      <x:formula>7</x:formula>
    </x:cfRule>
    <x:cfRule type="cellIs" dxfId="7" priority="2" operator="between">
      <x:formula>5</x:formula>
      <x:formula>6</x:formula>
    </x:cfRule>
  </x:conditionalFormatting>
  <x:conditionalFormatting sqref="T4:T13">
    <x:cfRule type="cellIs" dxfId="8" priority="3" operator="greaterThanOrEqual">
      <x:formula>9</x:formula>
    </x:cfRule>
    <x:cfRule type="cellIs" dxfId="9" priority="4" operator="between">
      <x:formula>7</x:formula>
      <x:formula>8</x:formula>
    </x:cfRule>
  </x:conditionalFormatting>
  <x:pageMargins left="0.7" right="0.7" top="0.75" bottom="0.75" header="0.3" footer="0.3"/>
  <x:tableParts count="1">
    <x:tablePart xmlns:r="http://schemas.openxmlformats.org/officeDocument/2006/relationships" r:id="R5235ed8778f24f3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24" hidden="0" customWidth="1"/>
    <x:col min="3" max="3" width="42" hidden="0" customWidth="1"/>
    <x:col min="4" max="4" width="42" hidden="0" customWidth="1"/>
    <x:col min="5" max="5" width="42" hidden="0" customWidth="1"/>
    <x:col min="6" max="6" width="42" hidden="0" customWidth="1"/>
    <x:col min="7" max="7" width="38" hidden="0" customWidth="1"/>
  </x:cols>
  <x:sheetData>
    <x:row r="1" ht="28" customHeight="1">
      <x:c r="A1" s="52" t="str">
        <x:v>Critérios de seleção e pontuação — Puxadas AGF</x:v>
      </x:c>
    </x:row>
    <x:row r="2" ht="38" customHeight="1">
      <x:c r="A2" s="38" t="str">
        <x:v>Regra operacional: uma empresa, um contato prioritário, sem duplicatas. Notícias devem ser dos últimos 6 meses e relacionadas a finanças ou momento financeiro/operacional verificável. Giulio é o remetente padrão.</x:v>
      </x:c>
    </x:row>
    <x:row r="4" ht="34" customHeight="1">
      <x:c r="A4" s="43" t="str">
        <x:v>Base</x:v>
      </x:c>
      <x:c r="B4" s="43" t="str">
        <x:v>Campo</x:v>
      </x:c>
      <x:c r="C4" s="43" t="str">
        <x:v>0 pontos</x:v>
      </x:c>
      <x:c r="D4" s="43" t="str">
        <x:v>1 ponto</x:v>
      </x:c>
      <x:c r="E4" s="43" t="str">
        <x:v>2 pontos</x:v>
      </x:c>
      <x:c r="F4" s="43" t="str">
        <x:v>3 pontos</x:v>
      </x:c>
      <x:c r="G4" s="43" t="str">
        <x:v>Aplicação</x:v>
      </x:c>
    </x:row>
    <x:row r="5" ht="74" customHeight="1">
      <x:c r="A5" s="46" t="str">
        <x:v>Vagas</x:v>
      </x:c>
      <x:c r="B5" s="46" t="str">
        <x:v>Porte</x:v>
      </x:c>
      <x:c r="C5" s="46" t="str">
        <x:v>Porte sem evidência ou claramente fora do foco.</x:v>
      </x:c>
      <x:c r="D5" s="46" t="str">
        <x:v>Empresa pequena, incerta ou exceção justificada.</x:v>
      </x:c>
      <x:c r="E5" s="46" t="str">
        <x:v>Médio porte / 200–1.000 funcionários / complexidade operacional relevante.</x:v>
      </x:c>
      <x:c r="F5" s="46" t="str">
        <x:v>Empresa grande, listada ou operação estratégica complexa.</x:v>
      </x:c>
      <x:c r="G5" s="46" t="str">
        <x:v>0–3</x:v>
      </x:c>
    </x:row>
    <x:row r="6" ht="74" customHeight="1">
      <x:c r="A6" s="46" t="str">
        <x:v>Vagas</x:v>
      </x:c>
      <x:c r="B6" s="46" t="str">
        <x:v>Urgência da vaga</x:v>
      </x:c>
      <x:c r="C6" s="46" t="str">
        <x:v>Sem vaga financeira relevante.</x:v>
      </x:c>
      <x:c r="D6" s="46" t="str">
        <x:v>Analista júnior, baixa amplitude ou vaga temporária sem outro sinal.</x:v>
      </x:c>
      <x:c r="E6" s="46" t="str">
        <x:v>Especialista/sênior ou vaga financeira diretamente ligada a planejamento, controle, tesouraria ou crédito.</x:v>
      </x:c>
      <x:c r="F6" s="46" t="str">
        <x:v>Coordenação/gestão, função crítica de finanças ou vaga combinada a expansão, captação, aquisição ou mudança relevante.</x:v>
      </x:c>
      <x:c r="G6" s="46" t="str">
        <x:v>0–3; correlacionar cargo e porte</x:v>
      </x:c>
    </x:row>
    <x:row r="7" ht="74" customHeight="1">
      <x:c r="A7" s="46" t="str">
        <x:v>Vagas</x:v>
      </x:c>
      <x:c r="B7" s="46" t="str">
        <x:v>Decisor por porte</x:v>
      </x:c>
      <x:c r="C7" s="46" t="str">
        <x:v>Contato não identificado, fora da área ou líder de empresa grande ainda não validado.</x:v>
      </x:c>
      <x:c r="D7" s="46" t="str">
        <x:v>Contato de área sem confirmação de liderança; recrutador apenas como último recurso.</x:v>
      </x:c>
      <x:c r="E7" s="46" t="str">
        <x:v>Porte 3: gerente/head/coordenador líder/diretor da área da vaga. Porte 1–2: CEO, CFO, VP/Diretor Financeiro ou Presidente.</x:v>
      </x:c>
      <x:c r="F7" s="46" t="str">
        <x:v>—</x:v>
      </x:c>
      <x:c r="G7" s="46" t="str">
        <x:v>0–2; a função-alvo depende do porte</x:v>
      </x:c>
    </x:row>
    <x:row r="8" ht="74" customHeight="1">
      <x:c r="A8" s="46" t="str">
        <x:v>Middle market</x:v>
      </x:c>
      <x:c r="B8" s="46" t="str">
        <x:v>Porte</x:v>
      </x:c>
      <x:c r="C8" s="46" t="str">
        <x:v>Porte sem evidência ou fora do foco sem exceção.</x:v>
      </x:c>
      <x:c r="D8" s="46" t="str">
        <x:v>Faixa adjacente ou exceção explícita pelo evento financeiro.</x:v>
      </x:c>
      <x:c r="E8" s="46" t="str">
        <x:v>Médio porte, 200–1.000 funcionários ou proxy de receita de R$50–250 mi.</x:v>
      </x:c>
      <x:c r="F8" s="46" t="str">
        <x:v>Proxy de receita de R$250–500 mi ou complexidade estratégica equivalente.</x:v>
      </x:c>
      <x:c r="G8" s="46" t="str">
        <x:v>0–3</x:v>
      </x:c>
    </x:row>
    <x:row r="9" ht="74" customHeight="1">
      <x:c r="A9" s="46" t="str">
        <x:v>Middle market</x:v>
      </x:c>
      <x:c r="B9" s="46" t="str">
        <x:v>Momento financeiro</x:v>
      </x:c>
      <x:c r="C9" s="46" t="str">
        <x:v>Sem sinal verificável recente.</x:v>
      </x:c>
      <x:c r="D9" s="46" t="str">
        <x:v>Atualização isolada, fraca ou sem impacto financeiro claro.</x:v>
      </x:c>
      <x:c r="E9" s="46" t="str">
        <x:v>Resultado, mudança executiva, recuperação, expansão moderada ou evento financeiro relevante.</x:v>
      </x:c>
      <x:c r="F9" s="46" t="str">
        <x:v>M&amp;A, capex material, dívida/debênture, captação, nova unidade importante ou expansão com impacto financeiro direto.</x:v>
      </x:c>
      <x:c r="G9" s="46" t="str">
        <x:v>0–3</x:v>
      </x:c>
    </x:row>
    <x:row r="10" ht="74" customHeight="1">
      <x:c r="A10" s="46" t="str">
        <x:v>Middle market</x:v>
      </x:c>
      <x:c r="B10" s="46" t="str">
        <x:v>Decisor</x:v>
      </x:c>
      <x:c r="C10" s="46" t="str">
        <x:v>Contato não identificado / fora da área.</x:v>
      </x:c>
      <x:c r="D10" s="46" t="str">
        <x:v>Diretor, gerente ou RI sem decisão financeira direta.</x:v>
      </x:c>
      <x:c r="E10" s="46" t="str">
        <x:v>Dono/CEO, CFO, VP/Diretor Financeiro ou head diretamente responsável pela área financeira relevante.</x:v>
      </x:c>
      <x:c r="F10" s="46" t="str">
        <x:v>—</x:v>
      </x:c>
      <x:c r="G10" s="46" t="str">
        <x:v>0–2</x:v>
      </x:c>
    </x:row>
    <x:row r="11" ht="74" customHeight="1">
      <x:c r="A11" s="46" t="str">
        <x:v>Operação</x:v>
      </x:c>
      <x:c r="B11" s="46" t="str">
        <x:v>Corte de entrada</x:v>
      </x:c>
      <x:c r="C11" s="46" t="str">
        <x:v>—</x:v>
      </x:c>
      <x:c r="D11" s="46" t="str">
        <x:v>Vagas: total abaixo de 3 não entra.</x:v>
      </x:c>
      <x:c r="E11" s="46" t="str">
        <x:v>Middle market: total abaixo de 5 não entra.</x:v>
      </x:c>
      <x:c r="F11" s="46" t="str">
        <x:v>—</x:v>
      </x:c>
      <x:c r="G11" s="46" t="str">
        <x:v>Exceções de porte exigem nota explícita e fonte</x:v>
      </x:c>
    </x:row>
    <x:row r="12" ht="74" customHeight="1">
      <x:c r="A12" s="46" t="str">
        <x:v>Operação</x:v>
      </x:c>
      <x:c r="B12" s="46" t="str">
        <x:v>Bônus de entrada</x:v>
      </x:c>
      <x:c r="C12" s="46" t="str">
        <x:v>Tech pura, serviços financeiros ou sem evidência suficiente.</x:v>
      </x:c>
      <x:c r="D12" s="46" t="str">
        <x:v>Economia real no eixo Rio–SP.</x:v>
      </x:c>
      <x:c r="E12" s="46" t="str">
        <x:v>Economia real fora do eixo Rio–SP.</x:v>
      </x:c>
      <x:c r="F12" s="46" t="str">
        <x:v>—</x:v>
      </x:c>
      <x:c r="G12" s="46" t="str">
        <x:v>Score comercial = total base + bônus; máximo de 10. Aplicar em Vagas e Middle market.</x:v>
      </x:c>
    </x:row>
    <x:row r="13" ht="74" customHeight="1">
      <x:c r="A13" s="46" t="str">
        <x:v>Operação</x:v>
      </x:c>
      <x:c r="B13" s="46" t="str">
        <x:v>Mensagem</x:v>
      </x:c>
      <x:c r="C13" s="46" t="str">
        <x:v>—</x:v>
      </x:c>
      <x:c r="D13" s="46" t="str">
        <x:v>—</x:v>
      </x:c>
      <x:c r="E13" s="46" t="str">
        <x:v>—</x:v>
      </x:c>
      <x:c r="F13" s="46" t="str">
        <x:v>—</x:v>
      </x:c>
      <x:c r="G13" s="46" t="str">
        <x:v>Usar o modelo aprovado: sinal específico + AI no financeiro + contexto AGF + trajetória do Giulio + convite de 15–30 min.</x:v>
      </x:c>
    </x:row>
  </x:sheetData>
  <x:mergeCells>
    <x:mergeCell ref="A1:G1"/>
    <x:mergeCell ref="A2:G2"/>
  </x:mergeCells>
  <x:pageMargins left="0.7" right="0.7" top="0.75" bottom="0.75" header="0.3" footer="0.3"/>
  <x:tableParts count="1">
    <x:tablePart xmlns:r="http://schemas.openxmlformats.org/officeDocument/2006/relationships" r:id="R53b37d1ce02c46ff"/>
  </x:tableParts>
</x:worksheet>
</file>